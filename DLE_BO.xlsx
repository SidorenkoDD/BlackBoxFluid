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VT_TSU\"/>
    </mc:Choice>
  </mc:AlternateContent>
  <xr:revisionPtr revIDLastSave="0" documentId="13_ncr:1_{926E9D0F-D59C-48DE-8687-881E846EAF28}" xr6:coauthVersionLast="47" xr6:coauthVersionMax="47" xr10:uidLastSave="{00000000-0000-0000-0000-000000000000}"/>
  <bookViews>
    <workbookView xWindow="20370" yWindow="-120" windowWidth="29040" windowHeight="15840" xr2:uid="{48662164-845D-4A26-BC49-CD5211F291E0}"/>
  </bookViews>
  <sheets>
    <sheet name="Лист1" sheetId="1" r:id="rId1"/>
    <sheet name="Лист3" sheetId="3" r:id="rId2"/>
    <sheet name="Лист2" sheetId="2" r:id="rId3"/>
  </sheets>
  <definedNames>
    <definedName name="_xlnm._FilterDatabase" localSheetId="2" hidden="1">Лист2!$A$1:$B$12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 s="1"/>
  <c r="L7" i="1" s="1"/>
  <c r="L8" i="1" s="1"/>
  <c r="L9" i="1" s="1"/>
  <c r="L10" i="1" s="1"/>
  <c r="L11" i="1" s="1"/>
  <c r="L3" i="1"/>
  <c r="L2" i="1"/>
  <c r="D14" i="3"/>
  <c r="M14" i="3" s="1"/>
  <c r="D13" i="3"/>
  <c r="M13" i="3" s="1"/>
  <c r="M12" i="3"/>
  <c r="G12" i="3"/>
  <c r="D12" i="3"/>
  <c r="D11" i="3"/>
  <c r="M11" i="3" s="1"/>
  <c r="M10" i="3"/>
  <c r="G10" i="3" s="1"/>
  <c r="D10" i="3"/>
  <c r="D9" i="3"/>
  <c r="M9" i="3" s="1"/>
  <c r="M8" i="3"/>
  <c r="G8" i="3"/>
  <c r="D8" i="3"/>
  <c r="D7" i="3"/>
  <c r="M7" i="3" s="1"/>
  <c r="M6" i="3"/>
  <c r="G6" i="3" s="1"/>
  <c r="D6" i="3"/>
  <c r="D5" i="3"/>
  <c r="M5" i="3" s="1"/>
  <c r="D4" i="3"/>
  <c r="M4" i="3" s="1"/>
  <c r="N4" i="3" s="1"/>
  <c r="O4" i="3" s="1"/>
  <c r="P13" i="3" s="1"/>
  <c r="D11" i="1"/>
  <c r="D12" i="1"/>
  <c r="D3" i="1"/>
  <c r="D4" i="1"/>
  <c r="D5" i="1"/>
  <c r="D6" i="1"/>
  <c r="D7" i="1"/>
  <c r="D8" i="1"/>
  <c r="D9" i="1"/>
  <c r="D10" i="1"/>
  <c r="D2" i="1"/>
  <c r="N4" i="1" l="1"/>
  <c r="G4" i="1" s="1"/>
  <c r="N5" i="1" s="1"/>
  <c r="G5" i="1" s="1"/>
  <c r="G9" i="3"/>
  <c r="G11" i="3"/>
  <c r="G7" i="3"/>
  <c r="N5" i="3"/>
  <c r="O5" i="3" s="1"/>
  <c r="P12" i="3" s="1"/>
  <c r="G13" i="3"/>
  <c r="N6" i="1" l="1"/>
  <c r="G6" i="1" s="1"/>
  <c r="N6" i="3"/>
  <c r="N7" i="1" l="1"/>
  <c r="G7" i="1" s="1"/>
  <c r="O6" i="3"/>
  <c r="P11" i="3" s="1"/>
  <c r="N7" i="3"/>
  <c r="N8" i="1" l="1"/>
  <c r="G8" i="1" s="1"/>
  <c r="O7" i="3"/>
  <c r="P10" i="3" s="1"/>
  <c r="N8" i="3"/>
  <c r="N9" i="1" l="1"/>
  <c r="G9" i="1" s="1"/>
  <c r="O8" i="3"/>
  <c r="P9" i="3" s="1"/>
  <c r="N9" i="3"/>
  <c r="N10" i="1" l="1"/>
  <c r="G10" i="1" s="1"/>
  <c r="O9" i="3"/>
  <c r="P8" i="3" s="1"/>
  <c r="N10" i="3"/>
  <c r="N11" i="1" l="1"/>
  <c r="G11" i="1" s="1"/>
  <c r="N12" i="1" s="1"/>
  <c r="O10" i="3"/>
  <c r="P7" i="3" s="1"/>
  <c r="N11" i="3"/>
  <c r="L12" i="1" l="1"/>
  <c r="O11" i="3"/>
  <c r="P6" i="3" s="1"/>
  <c r="N12" i="3"/>
  <c r="O11" i="1"/>
  <c r="M12" i="1" l="1"/>
  <c r="M3" i="1"/>
  <c r="M4" i="1"/>
  <c r="M2" i="1"/>
  <c r="M5" i="1"/>
  <c r="M6" i="1"/>
  <c r="M7" i="1"/>
  <c r="M8" i="1"/>
  <c r="M9" i="1"/>
  <c r="M10" i="1"/>
  <c r="M11" i="1"/>
  <c r="O12" i="3"/>
  <c r="P5" i="3" s="1"/>
  <c r="N13" i="3"/>
  <c r="O2" i="1"/>
  <c r="O10" i="1"/>
  <c r="O5" i="1"/>
  <c r="O6" i="1"/>
  <c r="O8" i="1"/>
  <c r="O4" i="1"/>
  <c r="O12" i="1"/>
  <c r="O7" i="1"/>
  <c r="O9" i="1"/>
  <c r="O3" i="1"/>
  <c r="O13" i="3" l="1"/>
  <c r="P4" i="3" s="1"/>
  <c r="N14" i="3"/>
  <c r="O1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C0C3E565-D7C6-486C-95DF-BF951893E35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Светло серый - напрямую из питона без пересчетов</t>
        </r>
      </text>
    </comment>
    <comment ref="N4" authorId="0" shapeId="0" xr:uid="{70088FB1-DE11-49CE-B758-DAAD99106D5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Расчет отсюда и вниз по столбцу по формулке нарисованной красным. Считаю с этой ступени, так как со ступени при Рнас ничего не отводится, насколько я предполагаю, следовательно, отвод газа будет при следующем снижении давления, а повлияет это только на третью ступень</t>
        </r>
      </text>
    </comment>
    <comment ref="L12" authorId="0" shapeId="0" xr:uid="{4DA46560-6A9B-4124-BED9-52AC93FFD39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Здесь расчет  из соотношений Т и Z, Fl уже не используется
</t>
        </r>
      </text>
    </comment>
    <comment ref="N12" authorId="0" shapeId="0" xr:uid="{4CC071E0-0AEF-428D-9AD0-4884C74C866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Здесь расчет  из соотношений Т и Z, Fl уже не используется
</t>
        </r>
      </text>
    </comment>
  </commentList>
</comments>
</file>

<file path=xl/sharedStrings.xml><?xml version="1.0" encoding="utf-8"?>
<sst xmlns="http://schemas.openxmlformats.org/spreadsheetml/2006/main" count="59" uniqueCount="35">
  <si>
    <t>Key</t>
  </si>
  <si>
    <t>Pressure</t>
  </si>
  <si>
    <t>Temperature</t>
  </si>
  <si>
    <t>FL</t>
  </si>
  <si>
    <t>Vl</t>
  </si>
  <si>
    <t>Vg</t>
  </si>
  <si>
    <t>Zliq</t>
  </si>
  <si>
    <t>Zgas</t>
  </si>
  <si>
    <t>ODEN</t>
  </si>
  <si>
    <t>0.1_293.14</t>
  </si>
  <si>
    <t>NaN</t>
  </si>
  <si>
    <t>9.87509765625_323.14</t>
  </si>
  <si>
    <t>8.788975694444446_323.14</t>
  </si>
  <si>
    <t>7.702853732638889_323.14</t>
  </si>
  <si>
    <t>6.616731770833334_323.14</t>
  </si>
  <si>
    <t>5.530609809027778_323.14</t>
  </si>
  <si>
    <t>4.444487847222223_323.14</t>
  </si>
  <si>
    <t>3.358365885416667_323.14</t>
  </si>
  <si>
    <t>2.2722439236111116_323.14</t>
  </si>
  <si>
    <t>1.186121961805556_323.14</t>
  </si>
  <si>
    <t>0.1_323.14</t>
  </si>
  <si>
    <t>P bar</t>
  </si>
  <si>
    <t>RS</t>
  </si>
  <si>
    <t>VgSTC</t>
  </si>
  <si>
    <t>VgSTC_acc</t>
  </si>
  <si>
    <t>Free gas</t>
  </si>
  <si>
    <t>f</t>
  </si>
  <si>
    <t>b</t>
  </si>
  <si>
    <t>Р</t>
  </si>
  <si>
    <t>Во</t>
  </si>
  <si>
    <t>РVTSim</t>
  </si>
  <si>
    <t>L VOL
 прямым перемножением</t>
  </si>
  <si>
    <t>L VOL через урс</t>
  </si>
  <si>
    <t>BOD через урс</t>
  </si>
  <si>
    <t>BOD прямым перемножением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</si>
</sst>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"/>
    <numFmt numFmtId="173" formatCode="0.0"/>
  </numFmts>
  <fonts count="2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sz val="10"/>
      <color theme="1"/>
      <name val="Tahoma"/>
      <family val="2"/>
      <charset val="204"/>
    </font>
    <font>
      <b/>
      <sz val="10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rgb="FFFF0000"/>
      <name val="Tahoma"/>
      <family val="2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6" fillId="26" borderId="0" applyNumberFormat="0" applyBorder="0" applyAlignment="0" applyProtection="0"/>
    <xf numFmtId="0" fontId="9" fillId="27" borderId="4" applyNumberFormat="0" applyAlignment="0" applyProtection="0"/>
    <xf numFmtId="0" fontId="11" fillId="28" borderId="7" applyNumberFormat="0" applyAlignment="0" applyProtection="0"/>
    <xf numFmtId="0" fontId="13" fillId="0" borderId="0" applyNumberFormat="0" applyFill="0" applyBorder="0" applyAlignment="0" applyProtection="0"/>
    <xf numFmtId="0" fontId="5" fillId="29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7" fillId="30" borderId="4" applyNumberFormat="0" applyAlignment="0" applyProtection="0"/>
    <xf numFmtId="0" fontId="10" fillId="0" borderId="6" applyNumberFormat="0" applyFill="0" applyAlignment="0" applyProtection="0"/>
    <xf numFmtId="0" fontId="18" fillId="31" borderId="0" applyNumberFormat="0" applyBorder="0" applyAlignment="0" applyProtection="0"/>
    <xf numFmtId="0" fontId="1" fillId="32" borderId="8" applyNumberFormat="0" applyFont="0" applyAlignment="0" applyProtection="0"/>
    <xf numFmtId="0" fontId="8" fillId="27" borderId="5" applyNumberFormat="0" applyAlignment="0" applyProtection="0"/>
    <xf numFmtId="0" fontId="19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17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172" fontId="20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3" fontId="20" fillId="0" borderId="0" xfId="0" applyNumberFormat="1" applyFont="1" applyAlignment="1">
      <alignment horizontal="right" vertical="center"/>
    </xf>
    <xf numFmtId="0" fontId="17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172" fontId="20" fillId="34" borderId="12" xfId="0" applyNumberFormat="1" applyFont="1" applyFill="1" applyBorder="1" applyAlignment="1">
      <alignment horizontal="right" vertical="center"/>
    </xf>
    <xf numFmtId="172" fontId="23" fillId="34" borderId="12" xfId="0" applyNumberFormat="1" applyFont="1" applyFill="1" applyBorder="1" applyAlignment="1">
      <alignment horizontal="right" vertical="center"/>
    </xf>
    <xf numFmtId="0" fontId="16" fillId="35" borderId="10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11" xfId="0" applyFont="1" applyBorder="1" applyAlignment="1">
      <alignment vertical="center"/>
    </xf>
    <xf numFmtId="0" fontId="24" fillId="33" borderId="10" xfId="0" applyFont="1" applyFill="1" applyBorder="1" applyAlignment="1">
      <alignment horizontal="center" vertical="center" wrapText="1"/>
    </xf>
    <xf numFmtId="0" fontId="25" fillId="33" borderId="10" xfId="0" applyFont="1" applyFill="1" applyBorder="1" applyAlignment="1">
      <alignment vertical="center" wrapText="1"/>
    </xf>
    <xf numFmtId="0" fontId="17" fillId="36" borderId="10" xfId="0" applyFont="1" applyFill="1" applyBorder="1" applyAlignment="1">
      <alignment horizontal="center" vertical="center" wrapText="1"/>
    </xf>
    <xf numFmtId="0" fontId="16" fillId="36" borderId="10" xfId="0" applyFont="1" applyFill="1" applyBorder="1" applyAlignment="1">
      <alignment vertical="center" wrapText="1"/>
    </xf>
    <xf numFmtId="0" fontId="25" fillId="36" borderId="10" xfId="0" applyFont="1" applyFill="1" applyBorder="1" applyAlignment="1">
      <alignment vertical="center" wrapText="1"/>
    </xf>
    <xf numFmtId="0" fontId="22" fillId="36" borderId="10" xfId="0" applyFont="1" applyFill="1" applyBorder="1" applyAlignment="1">
      <alignment vertical="center" wrapText="1"/>
    </xf>
    <xf numFmtId="0" fontId="17" fillId="37" borderId="12" xfId="0" applyFont="1" applyFill="1" applyBorder="1" applyAlignment="1">
      <alignment horizontal="center" vertical="center" wrapText="1"/>
    </xf>
    <xf numFmtId="0" fontId="17" fillId="33" borderId="13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vertical="center" wrapText="1"/>
    </xf>
    <xf numFmtId="0" fontId="25" fillId="33" borderId="13" xfId="0" applyFont="1" applyFill="1" applyBorder="1" applyAlignment="1">
      <alignment vertical="center" wrapText="1"/>
    </xf>
    <xf numFmtId="0" fontId="22" fillId="33" borderId="13" xfId="0" applyFont="1" applyFill="1" applyBorder="1" applyAlignment="1">
      <alignment vertical="center" wrapText="1"/>
    </xf>
    <xf numFmtId="0" fontId="16" fillId="35" borderId="12" xfId="0" applyFont="1" applyFill="1" applyBorder="1" applyAlignment="1">
      <alignment horizontal="center" vertical="center" wrapText="1"/>
    </xf>
    <xf numFmtId="0" fontId="0" fillId="35" borderId="12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26" fillId="11" borderId="12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</cellXfs>
  <cellStyles count="42">
    <cellStyle name="20% - Accent1" xfId="1" xr:uid="{2B4D6E16-7AD7-490B-BC38-36B47E0C0F51}"/>
    <cellStyle name="20% - Accent2" xfId="2" xr:uid="{80007C64-9F8B-4071-9130-0FD097430EF2}"/>
    <cellStyle name="20% - Accent3" xfId="3" xr:uid="{720A5540-82FF-4F26-ADC2-536E1694B19E}"/>
    <cellStyle name="20% - Accent4" xfId="4" xr:uid="{274A6D7B-A125-4DAA-AC1E-ABBEF75451D1}"/>
    <cellStyle name="20% - Accent5" xfId="5" xr:uid="{9AFB13AF-D410-449F-9371-2D356193F6FC}"/>
    <cellStyle name="20% - Accent6" xfId="6" xr:uid="{3DF6969E-FAF8-4133-93CB-07CDBF0A0062}"/>
    <cellStyle name="40% - Accent1" xfId="7" xr:uid="{326BC285-2BD4-4D41-9CBD-0C6E8F9D31A3}"/>
    <cellStyle name="40% - Accent2" xfId="8" xr:uid="{1B2241EB-8F96-443E-A16D-C3248B49BF87}"/>
    <cellStyle name="40% - Accent3" xfId="9" xr:uid="{5F57F8A4-D876-41A8-9091-2CF4024AAB68}"/>
    <cellStyle name="40% - Accent4" xfId="10" xr:uid="{723F3590-38F3-4629-9046-BFE7D64A00F7}"/>
    <cellStyle name="40% - Accent5" xfId="11" xr:uid="{C37E7C86-2C45-4092-8D68-18EBA4E38E8D}"/>
    <cellStyle name="40% - Accent6" xfId="12" xr:uid="{848EAC00-8B00-4E7C-9E48-93E80BF0F76E}"/>
    <cellStyle name="60% - Accent1" xfId="13" xr:uid="{EBC36323-E75D-4BFB-9437-2D67F764DF27}"/>
    <cellStyle name="60% - Accent2" xfId="14" xr:uid="{71A066C5-AA4E-482A-B9E8-54464C452C3D}"/>
    <cellStyle name="60% - Accent3" xfId="15" xr:uid="{617987C2-9704-4C30-BCD8-5B4D7C3355A3}"/>
    <cellStyle name="60% - Accent4" xfId="16" xr:uid="{B8C8D7B0-4C9B-4EC1-9EBE-E3C9AACF5F74}"/>
    <cellStyle name="60% - Accent5" xfId="17" xr:uid="{D9A78EAD-DCBD-4D43-B01D-A2BD009D70AD}"/>
    <cellStyle name="60% - Accent6" xfId="18" xr:uid="{3AB6140B-E44F-4E31-8A12-02C6C27E3168}"/>
    <cellStyle name="Accent1" xfId="19" xr:uid="{60FC835C-9333-4D95-B686-5C00CF84491A}"/>
    <cellStyle name="Accent2" xfId="20" xr:uid="{C62B317A-3197-46BC-81AE-9DBE95FCADD7}"/>
    <cellStyle name="Accent3" xfId="21" xr:uid="{997002B0-ACD0-45E4-8B68-0BBE2763FED3}"/>
    <cellStyle name="Accent4" xfId="22" xr:uid="{2D0C1793-DAF1-43C6-9D6F-9CAC8013D2D5}"/>
    <cellStyle name="Accent5" xfId="23" xr:uid="{84AA0D65-7201-4373-B8D9-099BA6D6CC56}"/>
    <cellStyle name="Accent6" xfId="24" xr:uid="{7AA1D174-8CFC-4B1E-AD7A-855869AC56FA}"/>
    <cellStyle name="Bad" xfId="25" xr:uid="{3780973C-6F85-47D3-9AF2-703168156369}"/>
    <cellStyle name="Calculation" xfId="26" xr:uid="{30D93ED2-6442-4C67-9DAC-5D715D93B36E}"/>
    <cellStyle name="Check Cell" xfId="27" xr:uid="{5B3E4104-72AA-4FA7-8D9E-5E31561E1C39}"/>
    <cellStyle name="Explanatory Text" xfId="28" xr:uid="{4C9641E6-253B-48C2-AD62-ECEA130A68B9}"/>
    <cellStyle name="Good" xfId="29" xr:uid="{DE8E6816-C5AB-4A79-96DA-EF6D69D35B21}"/>
    <cellStyle name="Heading 1" xfId="30" xr:uid="{0D36B498-9660-43B2-A2B8-E1A18C4B24E1}"/>
    <cellStyle name="Heading 2" xfId="31" xr:uid="{9759E100-A062-4353-AC60-8C9FD7E75B49}"/>
    <cellStyle name="Heading 3" xfId="32" xr:uid="{EFE763F3-BF3E-4703-9CFC-629CCC1D7947}"/>
    <cellStyle name="Heading 4" xfId="33" xr:uid="{24820D13-C8C3-4E4A-A33B-BA4473B0B3B1}"/>
    <cellStyle name="Input" xfId="34" xr:uid="{AC244531-0CF4-4AFB-AF57-3924DB0ADEFE}"/>
    <cellStyle name="Linked Cell" xfId="35" xr:uid="{3C5A8035-9838-46CE-99DD-DDF9B3C90C2F}"/>
    <cellStyle name="Neutral" xfId="36" xr:uid="{46DC36B1-64F1-4154-9460-2D4F137132DA}"/>
    <cellStyle name="Note" xfId="37" xr:uid="{A8014B7F-01C7-4DB6-A846-EC49E2A8F3CD}"/>
    <cellStyle name="Output" xfId="38" xr:uid="{95481E4B-24E9-4B96-859E-1495D78CA9B2}"/>
    <cellStyle name="Title" xfId="39" xr:uid="{B7D2695F-7758-4F18-A724-D3F196EE4233}"/>
    <cellStyle name="Total" xfId="40" xr:uid="{1CCFEF37-7EAD-4CEC-AA8B-EF082C75FD96}"/>
    <cellStyle name="Warning Text" xfId="41" xr:uid="{D7304849-67F1-4F30-A2FC-1DD101E0EF4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Сравнение объемников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375973058745873"/>
          <c:y val="0.18236766432827384"/>
          <c:w val="0.7903277539241591"/>
          <c:h val="0.59930613736637284"/>
        </c:manualLayout>
      </c:layout>
      <c:scatterChart>
        <c:scatterStyle val="smoothMarker"/>
        <c:varyColors val="0"/>
        <c:ser>
          <c:idx val="0"/>
          <c:order val="0"/>
          <c:tx>
            <c:v>PVTSim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Лист1!$Z$2:$Z$11</c:f>
              <c:numCache>
                <c:formatCode>0.000</c:formatCode>
                <c:ptCount val="10"/>
                <c:pt idx="0">
                  <c:v>9.8750979999999995</c:v>
                </c:pt>
                <c:pt idx="1">
                  <c:v>8.7889759999999999</c:v>
                </c:pt>
                <c:pt idx="2">
                  <c:v>7.7028540000000003</c:v>
                </c:pt>
                <c:pt idx="3">
                  <c:v>6.6167320000000007</c:v>
                </c:pt>
                <c:pt idx="4">
                  <c:v>5.5306100000000002</c:v>
                </c:pt>
                <c:pt idx="5">
                  <c:v>4.4444879999999998</c:v>
                </c:pt>
                <c:pt idx="6">
                  <c:v>3.3583660000000006</c:v>
                </c:pt>
                <c:pt idx="7">
                  <c:v>2.2722440000000002</c:v>
                </c:pt>
                <c:pt idx="8">
                  <c:v>1.1861219999999999</c:v>
                </c:pt>
                <c:pt idx="9">
                  <c:v>0.1</c:v>
                </c:pt>
              </c:numCache>
            </c:numRef>
          </c:xVal>
          <c:yVal>
            <c:numRef>
              <c:f>Лист1!$AA$2:$AA$11</c:f>
              <c:numCache>
                <c:formatCode>0.000</c:formatCode>
                <c:ptCount val="10"/>
                <c:pt idx="0">
                  <c:v>1.4192364316747383</c:v>
                </c:pt>
                <c:pt idx="1">
                  <c:v>1.3883787135709178</c:v>
                </c:pt>
                <c:pt idx="2">
                  <c:v>1.3584827775156243</c:v>
                </c:pt>
                <c:pt idx="3">
                  <c:v>1.329342532559977</c:v>
                </c:pt>
                <c:pt idx="4">
                  <c:v>1.3006809702582669</c:v>
                </c:pt>
                <c:pt idx="5">
                  <c:v>1.2720575760063662</c:v>
                </c:pt>
                <c:pt idx="6">
                  <c:v>1.2426174335640801</c:v>
                </c:pt>
                <c:pt idx="7">
                  <c:v>1.2101730958457293</c:v>
                </c:pt>
                <c:pt idx="8">
                  <c:v>1.165673704984908</c:v>
                </c:pt>
                <c:pt idx="9">
                  <c:v>1.0154634897187065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5-499D-B38E-DD564E6F1298}"/>
            </c:ext>
          </c:extLst>
        </c:ser>
        <c:ser>
          <c:idx val="1"/>
          <c:order val="1"/>
          <c:tx>
            <c:v>Во через УРС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9.8750979999999995</c:v>
                </c:pt>
                <c:pt idx="1">
                  <c:v>8.7889759999999999</c:v>
                </c:pt>
                <c:pt idx="2">
                  <c:v>7.7028540000000003</c:v>
                </c:pt>
                <c:pt idx="3">
                  <c:v>6.6167319999999998</c:v>
                </c:pt>
                <c:pt idx="4">
                  <c:v>5.5306100000000002</c:v>
                </c:pt>
                <c:pt idx="5">
                  <c:v>4.4444879999999998</c:v>
                </c:pt>
                <c:pt idx="6">
                  <c:v>3.3583660000000002</c:v>
                </c:pt>
                <c:pt idx="7">
                  <c:v>2.2722440000000002</c:v>
                </c:pt>
                <c:pt idx="8">
                  <c:v>1.1861219999999999</c:v>
                </c:pt>
                <c:pt idx="9">
                  <c:v>0.1</c:v>
                </c:pt>
              </c:numCache>
            </c:numRef>
          </c:xVal>
          <c:yVal>
            <c:numRef>
              <c:f>Лист1!$O$2:$O$11</c:f>
              <c:numCache>
                <c:formatCode>General</c:formatCode>
                <c:ptCount val="10"/>
                <c:pt idx="0">
                  <c:v>1.036493767781421</c:v>
                </c:pt>
                <c:pt idx="1">
                  <c:v>1.0146293043145365</c:v>
                </c:pt>
                <c:pt idx="2">
                  <c:v>0.99400970797135713</c:v>
                </c:pt>
                <c:pt idx="3">
                  <c:v>0.97423764728037343</c:v>
                </c:pt>
                <c:pt idx="4">
                  <c:v>0.95526259254374846</c:v>
                </c:pt>
                <c:pt idx="5">
                  <c:v>0.93709723908716025</c:v>
                </c:pt>
                <c:pt idx="6">
                  <c:v>0.91994115899280304</c:v>
                </c:pt>
                <c:pt idx="7">
                  <c:v>0.9048250097507744</c:v>
                </c:pt>
                <c:pt idx="8">
                  <c:v>0.89882112543809156</c:v>
                </c:pt>
                <c:pt idx="9">
                  <c:v>1.0114472103141685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A5-499D-B38E-DD564E6F1298}"/>
            </c:ext>
          </c:extLst>
        </c:ser>
        <c:ser>
          <c:idx val="2"/>
          <c:order val="2"/>
          <c:tx>
            <c:v>Прямое перемножение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9.8750979999999995</c:v>
                </c:pt>
                <c:pt idx="1">
                  <c:v>8.7889759999999999</c:v>
                </c:pt>
                <c:pt idx="2">
                  <c:v>7.7028540000000003</c:v>
                </c:pt>
                <c:pt idx="3">
                  <c:v>6.6167319999999998</c:v>
                </c:pt>
                <c:pt idx="4">
                  <c:v>5.5306100000000002</c:v>
                </c:pt>
                <c:pt idx="5">
                  <c:v>4.4444879999999998</c:v>
                </c:pt>
                <c:pt idx="6">
                  <c:v>3.3583660000000002</c:v>
                </c:pt>
                <c:pt idx="7">
                  <c:v>2.2722440000000002</c:v>
                </c:pt>
                <c:pt idx="8">
                  <c:v>1.1861219999999999</c:v>
                </c:pt>
                <c:pt idx="9">
                  <c:v>0.1</c:v>
                </c:pt>
              </c:numCache>
            </c:numRef>
          </c:xVal>
          <c:yVal>
            <c:numRef>
              <c:f>Лист1!$M$2:$M$11</c:f>
              <c:numCache>
                <c:formatCode>General</c:formatCode>
                <c:ptCount val="10"/>
                <c:pt idx="0">
                  <c:v>1.7787065595958345</c:v>
                </c:pt>
                <c:pt idx="1">
                  <c:v>1.7411853840717069</c:v>
                </c:pt>
                <c:pt idx="2">
                  <c:v>1.6486187454983028</c:v>
                </c:pt>
                <c:pt idx="3">
                  <c:v>1.5590624780053439</c:v>
                </c:pt>
                <c:pt idx="4">
                  <c:v>1.4720449648579537</c:v>
                </c:pt>
                <c:pt idx="5">
                  <c:v>1.3869445733945505</c:v>
                </c:pt>
                <c:pt idx="6">
                  <c:v>1.3027930983484095</c:v>
                </c:pt>
                <c:pt idx="7">
                  <c:v>1.2177285257848485</c:v>
                </c:pt>
                <c:pt idx="8">
                  <c:v>1.1270272342702896</c:v>
                </c:pt>
                <c:pt idx="9">
                  <c:v>1.0114472103141687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A5-499D-B38E-DD564E6F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10623"/>
        <c:axId val="1082421439"/>
      </c:scatterChart>
      <c:valAx>
        <c:axId val="108241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Давление, МПа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2421439"/>
        <c:crosses val="autoZero"/>
        <c:crossBetween val="midCat"/>
      </c:valAx>
      <c:valAx>
        <c:axId val="108242143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241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73045824407269"/>
          <c:y val="0.10760934839464699"/>
          <c:w val="0.48220222614986186"/>
          <c:h val="0.205716717483389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Лист1!$Y$18:$Y$27</c:f>
              <c:numCache>
                <c:formatCode>0.000</c:formatCode>
                <c:ptCount val="10"/>
              </c:numCache>
            </c:numRef>
          </c:xVal>
          <c:yVal>
            <c:numRef>
              <c:f>Лист1!$Z$18:$Z$27</c:f>
              <c:numCache>
                <c:formatCode>0.0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B1-4184-BCF8-EF05E8F5635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Лист1!$C$17:$C$26</c:f>
              <c:numCache>
                <c:formatCode>General</c:formatCode>
                <c:ptCount val="10"/>
              </c:numCache>
            </c:numRef>
          </c:xVal>
          <c:yVal>
            <c:numRef>
              <c:f>Лист1!$O$17:$O$26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B1-4184-BCF8-EF05E8F56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410623"/>
        <c:axId val="1082421439"/>
      </c:scatterChart>
      <c:valAx>
        <c:axId val="108241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2421439"/>
        <c:crosses val="autoZero"/>
        <c:crossBetween val="midCat"/>
      </c:valAx>
      <c:valAx>
        <c:axId val="10824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241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238126</xdr:colOff>
      <xdr:row>0</xdr:row>
      <xdr:rowOff>614983</xdr:rowOff>
    </xdr:from>
    <xdr:to>
      <xdr:col>22</xdr:col>
      <xdr:colOff>180975</xdr:colOff>
      <xdr:row>8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B9C3A17-D0C1-4750-AD85-485FC5EC6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151980</xdr:colOff>
      <xdr:row>9</xdr:row>
      <xdr:rowOff>305565</xdr:rowOff>
    </xdr:from>
    <xdr:to>
      <xdr:col>19</xdr:col>
      <xdr:colOff>38820</xdr:colOff>
      <xdr:row>10</xdr:row>
      <xdr:rowOff>351675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6" name="Рукописный ввод 25">
              <a:extLst>
                <a:ext uri="{FF2B5EF4-FFF2-40B4-BE49-F238E27FC236}">
                  <a16:creationId xmlns:a16="http://schemas.microsoft.com/office/drawing/2014/main" id="{9B4108D1-396B-47C9-8BAC-E645397D9F45}"/>
                </a:ext>
              </a:extLst>
            </xdr14:cNvPr>
            <xdr14:cNvContentPartPr/>
          </xdr14:nvContentPartPr>
          <xdr14:nvPr macro=""/>
          <xdr14:xfrm>
            <a:off x="12629730" y="5191890"/>
            <a:ext cx="496440" cy="522360"/>
          </xdr14:xfrm>
        </xdr:contentPart>
      </mc:Choice>
      <mc:Fallback>
        <xdr:pic>
          <xdr:nvPicPr>
            <xdr:cNvPr id="26" name="Рукописный ввод 25">
              <a:extLst>
                <a:ext uri="{FF2B5EF4-FFF2-40B4-BE49-F238E27FC236}">
                  <a16:creationId xmlns:a16="http://schemas.microsoft.com/office/drawing/2014/main" id="{9B4108D1-396B-47C9-8BAC-E645397D9F4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594090" y="5155890"/>
              <a:ext cx="56808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161925</xdr:colOff>
      <xdr:row>9</xdr:row>
      <xdr:rowOff>125205</xdr:rowOff>
    </xdr:from>
    <xdr:to>
      <xdr:col>23</xdr:col>
      <xdr:colOff>253245</xdr:colOff>
      <xdr:row>13</xdr:row>
      <xdr:rowOff>187185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9" name="Рукописный ввод 58">
              <a:extLst>
                <a:ext uri="{FF2B5EF4-FFF2-40B4-BE49-F238E27FC236}">
                  <a16:creationId xmlns:a16="http://schemas.microsoft.com/office/drawing/2014/main" id="{029E77D0-F77C-45E7-A82C-14E89495B55E}"/>
                </a:ext>
              </a:extLst>
            </xdr14:cNvPr>
            <xdr14:cNvContentPartPr/>
          </xdr14:nvContentPartPr>
          <xdr14:nvPr macro=""/>
          <xdr14:xfrm>
            <a:off x="11420475" y="5011530"/>
            <a:ext cx="4358520" cy="1700280"/>
          </xdr14:xfrm>
        </xdr:contentPart>
      </mc:Choice>
      <mc:Fallback>
        <xdr:pic>
          <xdr:nvPicPr>
            <xdr:cNvPr id="59" name="Рукописный ввод 58">
              <a:extLst>
                <a:ext uri="{FF2B5EF4-FFF2-40B4-BE49-F238E27FC236}">
                  <a16:creationId xmlns:a16="http://schemas.microsoft.com/office/drawing/2014/main" id="{029E77D0-F77C-45E7-A82C-14E89495B55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384835" y="4975890"/>
              <a:ext cx="4430160" cy="1771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291353</xdr:colOff>
      <xdr:row>3</xdr:row>
      <xdr:rowOff>268941</xdr:rowOff>
    </xdr:from>
    <xdr:to>
      <xdr:col>23</xdr:col>
      <xdr:colOff>572961</xdr:colOff>
      <xdr:row>9</xdr:row>
      <xdr:rowOff>80097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3AD431-5D14-42D4-95CB-41596273C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11T23:12:42.393"/>
    </inkml:context>
    <inkml:brush xml:id="br0">
      <inkml:brushProperty name="width" value="0.2" units="cm"/>
      <inkml:brushProperty name="height" value="0.2" units="cm"/>
      <inkml:brushProperty name="color" value="#E71224"/>
      <inkml:brushProperty name="ignorePressure" value="1"/>
    </inkml:brush>
  </inkml:definitions>
  <inkml:trace contextRef="#ctx0" brushRef="#br0">1 1135,'0'5,"0"5,0 6,0 5,0 3,0 2,0 1,4 1,2 0,0-1,-1 0,-2 0,-1 0,-1-5</inkml:trace>
  <inkml:trace contextRef="#ctx0" brushRef="#br0" timeOffset="1492.86">821 156,'1'21,"1"-1,1 0,11 38,6 32,-7 89,-10 236,-7-189,5-209,0 1,0-1,2 0,6 25,-8-38,0 0,0 0,0 0,1 0,-1-1,1 1,0 0,0-1,0 1,1-1,-1 0,1 0,0 0,0 0,0 0,0 0,0-1,1 0,-1 1,1-1,-1-1,1 1,0 0,4 0,-5-2,-1 0,1 0,-1 0,0-1,1 1,-1-1,0 0,1 0,-1 0,0 0,0 0,0 0,0 0,0-1,0 1,0-1,-1 1,1-1,0 0,-1 0,1 0,-1 0,0 0,0 0,0 0,0 0,0 0,0-1,0 1,-1 0,1-4,5-12,-2-1,4-35,-6 40,22-109,5 0,48-125,30-121,-102 348,3-15,-1 1,-2-1,1-44,-4 53,0 1,2-1,10-36,-12 59,-1 10,0 4</inkml:trace>
  <inkml:trace contextRef="#ctx0" brushRef="#br0" timeOffset="2410.77">1324 976,'5'9,"1"1,-1-1,0 1,-1-1,0 1,-1 1,0-1,1 12,0-8,-1-3,0-1,-1 1,0 1,-1-1,0 0,-1 0,0 0,-1 1,0-1,-1 0,0 0,-1 0,0 0,-1-1,-8 19,9-24,0 1,0-1,1 0,0 1,0-1,0 1,0 0,1-1,0 1,1 0,-1 0,1 0,0 0,0 0,1 0,1 8,4 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11T23:12:25.431"/>
    </inkml:context>
    <inkml:brush xml:id="br0">
      <inkml:brushProperty name="width" value="0.2" units="cm"/>
      <inkml:brushProperty name="height" value="0.2" units="cm"/>
      <inkml:brushProperty name="color" value="#E71224"/>
      <inkml:brushProperty name="ignorePressure" value="1"/>
    </inkml:brush>
  </inkml:definitions>
  <inkml:trace contextRef="#ctx0" brushRef="#br0">1 1927,'4'0,"2"0</inkml:trace>
  <inkml:trace contextRef="#ctx0" brushRef="#br0" timeOffset="750.78">80 2059,'9'23,"0"0,10 44,1 1,0-2,11 69,-24-91,3 0,2-1,1 0,2-1,22 42,-34-78,1 0,0 0,0-1,0 1,1-1,0 0,0 0,0-1,0 1,1-1,6 3,-11-6,-1-1,0 0,1 0,0 1,-1-1,1 0,-1 0,1 0,-1 0,1 1,-1-1,1 0,-1 0,1 0,0 0,-1 0,1-1,-1 1,1 0,-1 0,1 0,-1 0,1-1,-1 1,1 0,-1 0,1-1,-1 1,1 0,-1-1,1 1,-1-1,0 1,1 0,-1-1,0 1,1-1,-1 1,0-1,1 1,-1-1,0 1,0-1,0 1,0-1,1 0,4-36,-4 28,9-67,4 1,37-118,70-141,-74 209,15-53,-52 144</inkml:trace>
  <inkml:trace contextRef="#ctx0" brushRef="#br0" timeOffset="2481.63">715 2668,'-1'-31,"0"13,1 0,0 0,2 0,4-25,-5 40,0-1,0 0,0 1,0-1,1 1,-1 0,1 0,0-1,0 1,0 0,1 0,-1 1,1-1,-1 0,1 1,0 0,0 0,0-1,0 2,0-1,1 0,-1 1,0-1,1 1,0 0,6-1,-1 1,0 0,0 0,0 1,0 0,0 0,-1 1,1 0,0 1,0 0,-1 1,1-1,-1 2,0-1,0 1,8 5,-4 0,0 1,0 0,-1 1,-1 0,1 0,-2 1,16 26,-18-27,0 1,-1-1,-1 2,0-1,0 1,-1-1,-1 1,4 24,-7-31,1-1,-1 1,0-1,-1 0,1 1,-1-1,0 1,0-1,-1 0,0 0,0 0,0 0,0 0,-1 0,0 0,0-1,0 1,0-1,-1 0,0 0,1 0,-1-1,-1 1,-4 2,-21 12,-48 19,53-27,1 2,0 0,-41 30,42-27,19-13,1 0,0 0,-1 0,1 1,0-1,0 1,0 0,-3 4,6-6,-1 0,1 0,0 0,-1 1,1-1,0 0,0 0,0 0,0 1,0-1,0 0,1 0,-1 0,0 1,0-1,1 0,-1 0,1 0,-1 0,1 0,0 0,-1 0,1 0,0 0,0 0,-1 0,1 0,0 0,0-1,0 1,0 0,2 0,10 10,1-2,0 0,1-1,0 0,0-1,29 9,101 21,-107-32,0-1,0-1,47-4,-63 0</inkml:trace>
  <inkml:trace contextRef="#ctx0" brushRef="#br0" timeOffset="3500.91">1271 2085,'78'4,"94"16,-62-6,-27-4,363 24,-427-34</inkml:trace>
  <inkml:trace contextRef="#ctx0" brushRef="#br0" timeOffset="4688.94">1350 2482,'810'0,"-779"3,-1 0,1 2,52 16,-61-15</inkml:trace>
  <inkml:trace contextRef="#ctx0" brushRef="#br0" timeOffset="7067.79">2753 2244,'4389'0,"-4170"-13,-4-1,2504 15,-2674 1,54 10,-55-6,59 2,-12-8,97 15,138 12,222-15,-333-15,-179 4,-21 0,0 0,0-2,0 1,25-6,-23 0</inkml:trace>
  <inkml:trace contextRef="#ctx0" brushRef="#br0" timeOffset="9635.23">3441 921,'0'94,"1"57,-23 193,-1-143,19-175</inkml:trace>
  <inkml:trace contextRef="#ctx0" brushRef="#br0" timeOffset="10868.37">3441 763,'16'-1,"0"-1,0 0,0-2,0 0,24-9,-21 6,1 1,29-5,-41 10,0 0,0 1,0 0,-1 1,1-1,0 1,0 1,-1-1,1 1,8 4,-1 1,0 0,-1 1,0 1,-1 0,0 1,0 0,21 23,0 7,33 48,-23-28,-43-58,0-1,1 1,-1 0,0-1,0 1,0 0,0-1,-1 1,1 0,0 0,-1 0,1 0,-1 0,0 0,1 3,-2-4,1 0,0-1,-1 1,1 0,0 0,-1 0,1 0,-1-1,1 1,-1 0,0 0,1-1,-1 1,0-1,1 1,-1 0,0-1,0 1,0-1,1 0,-1 1,0-1,-1 1,-8 1,1-1,-1 1,1-1,-1-1,-11 0,-3 0,-13 4,1 3,-1 1,2 1,-1 2,-51 24,-26 8,88-36</inkml:trace>
  <inkml:trace contextRef="#ctx0" brushRef="#br0" timeOffset="22612.87">5663 1292,'4'0,"2"5,4 5,1 6,2 1,0 1,1 2,4-2,-2 5,1-2,-2 1,-4-4</inkml:trace>
  <inkml:trace contextRef="#ctx0" brushRef="#br0" timeOffset="25003.02">5848 1583,'-2'21,"0"0,-9 38,-1-1,11-53,0 0,1 0,-1 0,1 0,0 1,0-1,0 0,1 0,2 7,-2-10,0 0,0 0,0-1,1 1,-1 0,1-1,-1 1,1-1,0 0,0 1,0-1,-1 0,1 0,0 0,0 0,0-1,1 1,-1 0,0-1,0 1,0-1,0 0,1 0,-1 0,2 0,6 0,-1 0,0 0,1-1,-1 0,0 0,0-1,0 0,0-1,0 0,0-1,-1 1,0-2,1 1,-1-1,-1 0,1-1,-1 0,0 0,6-7,-1-1,-2 0,1-1,-2 0,0 0,0-1,-2 0,0 0,9-34,-1 5,30-65,-5 14,-6 23,-25 56,0 1,-2-1,0-1,-1 1,5-25,15-68,-17 80,-2 0,-1-1,3-41,-10-188,1 257,-1-1,1 0,-1 0,0 0,0 1,0-1,-1 1,1-1,-1 1,0-1,0 1,0 0,-1 0,1 0,-1 0,-4-4,-2 0,1 2,-1-1,-1 1,-16-6,-6-3,21 9,0 1,-1 0,1 1,-1 0,0 1,0 0,-15 0,-91 5,45 0,61-3,-50 4,59-3,0 0,0 0,0-1,0 2,0-1,0 0,1 1,-1-1,0 1,1 0,-1 0,1 0,0 0,0 0,0 0,0 1,-2 2,-4 10</inkml:trace>
  <inkml:trace contextRef="#ctx0" brushRef="#br0" timeOffset="27990.41">6457 1450,'15'-6,"1"1,0 0,0 1,0 0,0 1,1 1,20 0,116 8,-148-6,-1 0,1 1,-1-1,1 1,0 1,-1-1,1 0,-1 1,0 0,0 0,0 0,0 1,0 0,0-1,0 1,-1 0,1 1,-1-1,5 8,-6-7,0 0,0 1,-1-1,1 1,-1-1,0 1,0-1,-1 1,1 0,-1-1,0 1,-1 0,1-1,-1 1,0 0,0-1,0 1,-1-1,1 0,-4 6,1-1,-1-1,0 0,0 1,-1-2,0 1,0-1,-1 0,1 0,-16 11,-5 0,-48 25,-10 7,81-47,0-1,1 1,-1 0,0 1,1-1,0 1,0-1,0 1,0 0,1 0,-1 0,1 1,0-1,0 0,-1 7,2-8,1-1,0 1,0-1,0 1,1 0,-1-1,1 1,-1-1,1 1,0 0,0-1,0 0,0 1,1-1,-1 0,0 0,1 1,0-1,-1 0,1 0,0-1,0 1,0 0,0-1,1 1,-1-1,0 0,4 2,10 6,0-1,0-1,1 0,0-1,1-1,-1-1,1 0,0-1,0-1,35 0,-38-2,1 2,-1 0,21 6,17 2,-33-8</inkml:trace>
  <inkml:trace contextRef="#ctx0" brushRef="#br0" timeOffset="31725.17">7489 1107,'558'0,"-551"0,-4 0,0 0,1-1,-1 1,0 1,0-1,1 0,-1 1,0-1,0 1,0 0,0 0,0 1,0-1,4 3,-7-4,0 0,0 1,0-1,0 0,0 0,0 1,0-1,0 0,0 1,0-1,0 0,0 0,0 1,0-1,0 0,-1 1,1-1,0 0,0 0,0 1,0-1,0 0,-1 0,1 0,0 1,0-1,-1 0,1 0,0 0,0 1,-1-1,1 0,0 0,0 0,-1 0,1 0,0 0,0 0,-1 0,1 0,0 0,-1 0,1 0,0 0,-1 0,-18 5,17-4,-195 53,118-31,73-21,0 0,0 1,1 0,-1 0,1 0,0 0,0 1,0 0,0 0,0 1,1-1,-7 9,-2 6,1 1,-12 25,-6 9,11-24,10-14,-1 0,-1 0,0-1,-19 18,21-24,0 0,0 1,1 0,0 0,1 0,0 1,1 1,-7 17,13-28,0 0,0 0,0 0,0 0,0 0,1 1,-1-1,0 0,1 0,-1 0,1 0,-1 0,1 0,0 0,-1 0,1 0,0 0,0-1,0 1,0 0,-1 0,1-1,0 1,0-1,0 1,1-1,-1 1,0-1,0 1,0-1,0 0,0 0,0 1,2-1,46 3,-44-3,37 0,15 0,107 13,-119-8,1-2,50-3,44 3,-119 1,-4 2</inkml:trace>
  <inkml:trace contextRef="#ctx0" brushRef="#br0" timeOffset="33262.46">8441 1450,'3'2,"0"-1,0 0,1 1,-1 0,0-1,0 1,-1 0,1 1,0-1,-1 0,1 1,-1 0,0-1,0 1,0 0,2 4,15 16,-7-12,0-2,-2 1,0 0,0 0,0 1,10 16,-19-25,0 0,1 0,-1 1,0-1,0 0,0 1,-1-1,1 1,-1-1,1 1,-1-1,0 1,0 0,0-1,0 1,0-1,-1 1,1-1,-1 1,1-1,-1 1,0-1,0 1,0-1,-1 0,1 0,0 0,-1 1,0-1,1-1,-1 1,0 0,0 0,0-1,0 1,-4 2,0-1,0 0,0 0,0 0,-1-1,1 0,-10 2,10-3,1 1,0-1,0 1,-1 0,1 0,0 0,0 1,1 0,-8 4,12-6,-1-1,1 1,0-1,-1 1,1-1,-1 0,1 1,0-1,-1 1,1 0,0-1,0 1,-1-1,1 1,0-1,0 1,0 0,0-1,0 1,0-1,0 1,0 0,0-1,0 1,0-1,0 1,0 0,0-1,0 1,1-1,-1 1,0 0,19 15,30 2,-3-7,0-2,0-2,1-2,58-1,-27-4,-55-1</inkml:trace>
  <inkml:trace contextRef="#ctx0" brushRef="#br0" timeOffset="34258.46">9473 1768,'-5'-67,"-2"-1,-28-118,16 95,-18-105,10-2,-5-299,20 272,0-14,13 336,-1-66</inkml:trace>
  <inkml:trace contextRef="#ctx0" brushRef="#br0" timeOffset="35101.87">8838 180,'6'0,"0"-1,0 0,0 0,-1-1,1 0,0 0,10-6,18-5,18-1,1 2,1 3,70-3,167 8,-262 6,0 1,0 2,0 1,-1 1,0 2,41 18,-35-15,-16-5</inkml:trace>
  <inkml:trace contextRef="#ctx0" brushRef="#br0" timeOffset="37079.73">9817 1477,'2'-3,"1"0,-1 0,1 1,0-1,0 0,0 1,1 0,-1 0,1 0,-1 0,1 0,0 1,-1 0,1 0,0 0,0 0,0 0,0 1,0-1,7 2,-7 0,0 0,1 1,-1 0,0 0,0 0,0 1,-1-1,1 1,-1 0,1 0,-1 0,0 0,0 1,0-1,-1 1,1-1,3 9,-3-7,0 0,0 0,0 1,-1-1,1 1,-1 0,-1-1,1 1,-1 0,1 11,-3-13,1 0,-1 0,0-1,0 1,-1 0,1-1,-1 1,0-1,0 1,0-1,0 0,0 0,-1 0,1 0,-1 0,0 0,-5 3,-2 2,0 1,1 1,0-1,0 1,-11 18,17-24,1 1,0-1,0 1,0 0,1 0,-1 0,1-1,1 1,-1 0,0 1,1-1,0 0,0 0,1 0,0 0,-1 0,4 9,-3-11,0-1,0 1,1-1,-1 1,1-1,-1 1,1-1,0 0,0 0,0 0,0 0,0 0,0 0,0 0,1-1,-1 1,1-1,-1 0,1 0,0 0,-1 0,1 0,3 0,8 2,-1-2,1 0,25-1,12 1,-46 0,150 28,-132-23</inkml:trace>
  <inkml:trace contextRef="#ctx0" brushRef="#br0" timeOffset="39515.55">9447 2747,'0'1257,"0"-1228</inkml:trace>
  <inkml:trace contextRef="#ctx0" brushRef="#br0" timeOffset="40671.42">9817 2800,'4'0,"6"0,7 0,-1 0</inkml:trace>
  <inkml:trace contextRef="#ctx0" brushRef="#br0" timeOffset="41605.28">9791 2800,'-690'0,"668"0</inkml:trace>
  <inkml:trace contextRef="#ctx0" brushRef="#br0" timeOffset="42832.79">9976 3779,'0'5,"0"5,-5 2,-1 3,0 3,1 4,2 2,1 1,1 2,0 0,1 0,1 0,-1 0,0-1,0 1,0 0,1-5</inkml:trace>
  <inkml:trace contextRef="#ctx0" brushRef="#br0" timeOffset="45291.38">7568 3541,'424'0,"-420"0,-1 0,0 0,0 0,0 0,0 1,1-1,-1 1,0 0,0 0,0 0,0 0,0 1,-1-1,1 1,0-1,3 4,-5-3,0-1,-1 1,1 0,0-1,-1 1,1 0,-1 0,0-1,1 1,-1 0,0 0,0 0,0 0,0-1,-1 1,1 0,-1 0,1 0,-1-1,1 1,-1 0,0-1,0 1,0 0,0-1,0 1,0-1,0 0,-3 3,-20 26,-36 36,-7 7,-50 44,56-63,50-47,1 0,1 1,-1 1,1 0,1 0,0 0,0 1,-9 16,16-25,0 0,1 0,-1 1,1-1,-1 0,1 0,0 0,-1 0,1 1,0-1,0 0,0 0,0 0,0 1,0-1,0 0,0 0,0 0,1 1,-1-1,1 0,-1 0,0 0,1 0,0 0,0 1,1 0,0 0,0-1,0 1,0-1,0 1,0-1,1 0,-1 0,0 0,1 0,-1-1,3 2,11 0,0 0,0-1,20 0,-28-1,156 12,1 0,-141-12</inkml:trace>
  <inkml:trace contextRef="#ctx0" brushRef="#br0" timeOffset="46346.73">8309 4017,'0'5,"-5"5,-1 11,0 15,-3 10,-5 11,-4 5,1 0,3 0,4-7,4-8,2-8,3-6,1-8</inkml:trace>
  <inkml:trace contextRef="#ctx0" brushRef="#br0" timeOffset="49595.23">6033 4229,'0'5,"0"1</inkml:trace>
  <inkml:trace contextRef="#ctx0" brushRef="#br0" timeOffset="52412.61">5584 3779,'10'2,"1"0,-1 1,0 0,1 1,-1 0,0 0,18 12,-2-3,-4-1,-1 0,0 1,0 1,-2 1,34 32,72 99,-113-131,13 13,-19-22,0 0,0 1,0 0,-1 0,0 1,-1-1,5 10,-8-14,-1-1,1 1,-1-1,0 1,0-1,0 1,0-1,0 1,0 0,-1-1,1 1,-1-1,0 1,0-1,0 0,0 1,0-1,0 0,-1 0,1 0,-1 1,1-1,-1-1,0 1,0 0,0 0,0-1,0 1,-4 1,-10 7,13-9,0 0,0 0,1 1,-1-1,0 1,1-1,0 1,-1 0,1 0,0 0,0 0,0 1,0-1,0 0,1 1,-1-1,-2 6,4-7,0 0,0-1,0 1,1-1,-1 1,0 0,0-1,0 1,0-1,1 1,-1 0,0-1,0 1,1-1,-1 1,0-1,1 1,-1-1,1 1,-1-1,1 0,-1 1,1-1,-1 0,1 1,-1-1,1 0,-1 1,1-1,1 0,22-1,21-18,-28 7,-1-1,0-1,-1 0,-1-1,0 0,-1-1,-1-1,-1 0,15-28,-12 21,0 0,2 2,1 0,29-30,-41 46,0 1,0-1,0-1,-1 1,0 0,0-1,-1 0,1 0,-2 0,1 0,-1-1,0 1,0-1,0-11,0-11,-1-1,-5-42,1 4,1 54,1 0,-2 0,0 0,-1 1,0-1,-1 1,-1 0,0 0,-1 1,0-1,-1 2,-1-1,0 1,0 0,-2 1,1 0,-1 1,-1 0,0 1,0 0,0 1,-2 0,1 1,0 0,-22-6,-57-23,62 23,-1 1,-54-13,-24 1,88 22</inkml:trace>
  <inkml:trace contextRef="#ctx0" brushRef="#br0" timeOffset="53995.54">6589 4255,'1'16,"0"0,2 0,5 20,5 37,0 15,-8-63,-1 0,1 26,-4-30,-2 0,-3 31,-2-25</inkml:trace>
  <inkml:trace contextRef="#ctx0" brushRef="#br0" timeOffset="56856.14">3917 3408,'0'828,"1"-802,1-1,8 31,-5-29,3 45,-8 113,0-163</inkml:trace>
  <inkml:trace contextRef="#ctx0" brushRef="#br0" timeOffset="58757.29">3970 3408,'94'2,"103"-4,-171-2,-22 3,0 1,1-1,-1 0,1 1,-1 0,0 0,1 1,7 1,-10-1,0 0,0 0,0 0,0 1,-1-1,1 0,0 1,-1 0,1-1,-1 1,0 0,0 0,1 0,-1 0,0 0,0 0,-1 0,1 0,0 0,-1 0,1 5,2 7,0 1,-2 0,0 0,0 0,-1 0,-1 0,-3 18,-5 9,-17 48,24-82,-2 10,1 1,0-1,0 30,2-23,-7 45,7-64,-1 0,1 0,-1 0,-1-1,1 1,-1-1,0 1,0-1,0 0,-1 0,0 0,-5 5,5-7,0 0,0 0,0 0,-1-1,1 0,0 0,-1 0,0 0,1-1,-1 0,0 0,0 0,-5 0,-70-3,67 0,-1 1,1 0,-1 2,-26 2,23 3</inkml:trace>
  <inkml:trace contextRef="#ctx0" brushRef="#br0" timeOffset="61012.91">4658 3990,'6'1,"1"-1,0 1,0 0,0 1,0 0,-1 0,1 0,-1 1,0 0,1 0,5 5,8 6,33 31,4 2,-53-44,0 1,0-1,0 1,-1 0,1 0,-1 0,0 0,0 0,0 1,0 0,-1-1,0 1,0 0,0 0,-1 0,1 0,-1 0,0 1,-1-1,0 0,1 0,-1 1,-1-1,1 0,-1 0,0 1,0-1,-1 0,0 0,1 0,-2 0,1-1,0 1,-1 0,0-1,0 0,0 0,-1 0,0 0,1 0,-1-1,0 1,-1-1,-5 4,-118 61,104-50,24-17,0-1,0 0,-1 1,1-1,0 1,0-1,0 1,0-1,0 1,-1 0,1-1,0 1,0-1,1 1,-1-1,0 1,0-1,0 1,0-1,0 1,0-1,1 1,-1-1,0 1,0-1,1 0,-1 1,1 0,3 2,1 1,-1-1,1-1,-1 1,1-1,0 1,6 1,10 5,-4-3,0 0,1-1,-1 0,1-2,0 0,0-1,0-1,25-1,-15 0,1 2,35 6,-25-2,0-1,68 0,-85-5</inkml:trace>
</inkml: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36FA-BB7C-4502-A395-C53E86A7DEC8}">
  <sheetPr>
    <tabColor theme="9"/>
  </sheetPr>
  <dimension ref="A1:AB27"/>
  <sheetViews>
    <sheetView tabSelected="1" topLeftCell="B1" zoomScaleNormal="100" workbookViewId="0">
      <selection activeCell="L12" sqref="L12"/>
    </sheetView>
  </sheetViews>
  <sheetFormatPr defaultRowHeight="15" x14ac:dyDescent="0.25"/>
  <cols>
    <col min="1" max="1" width="9.28515625" bestFit="1" customWidth="1"/>
    <col min="2" max="2" width="26.42578125" customWidth="1"/>
    <col min="3" max="4" width="8.85546875" customWidth="1"/>
    <col min="5" max="6" width="9.28515625" bestFit="1" customWidth="1"/>
    <col min="7" max="7" width="11.5703125" bestFit="1" customWidth="1"/>
    <col min="8" max="8" width="11.42578125" bestFit="1" customWidth="1"/>
    <col min="9" max="11" width="9.28515625" bestFit="1" customWidth="1"/>
    <col min="13" max="14" width="9.28515625" bestFit="1" customWidth="1"/>
    <col min="25" max="26" width="9.28515625" bestFit="1" customWidth="1"/>
  </cols>
  <sheetData>
    <row r="1" spans="1:28" ht="51" x14ac:dyDescent="0.25">
      <c r="A1" s="11"/>
      <c r="B1" s="23" t="s">
        <v>0</v>
      </c>
      <c r="C1" s="11" t="s">
        <v>1</v>
      </c>
      <c r="D1" s="11" t="s">
        <v>21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28" t="s">
        <v>8</v>
      </c>
      <c r="L1" s="27" t="s">
        <v>31</v>
      </c>
      <c r="M1" s="27" t="s">
        <v>34</v>
      </c>
      <c r="N1" s="15" t="s">
        <v>32</v>
      </c>
      <c r="O1" s="15" t="s">
        <v>33</v>
      </c>
      <c r="Z1" t="s">
        <v>28</v>
      </c>
      <c r="AA1" t="s">
        <v>29</v>
      </c>
      <c r="AB1" s="7" t="s">
        <v>30</v>
      </c>
    </row>
    <row r="2" spans="1:28" ht="42" customHeight="1" x14ac:dyDescent="0.25">
      <c r="A2" s="11">
        <v>0</v>
      </c>
      <c r="B2" s="24" t="s">
        <v>11</v>
      </c>
      <c r="C2" s="12">
        <v>9.8750979999999995</v>
      </c>
      <c r="D2" s="12">
        <f>C2*10</f>
        <v>98.750979999999998</v>
      </c>
      <c r="E2" s="12">
        <v>323.14</v>
      </c>
      <c r="F2" s="12">
        <v>0.99935200000000002</v>
      </c>
      <c r="G2" s="18">
        <v>138.341869</v>
      </c>
      <c r="H2" s="12">
        <v>0.13540199999999999</v>
      </c>
      <c r="I2" s="12">
        <v>0.50883400000000001</v>
      </c>
      <c r="J2" s="12">
        <v>0.76809099999999997</v>
      </c>
      <c r="K2" s="29">
        <v>0.68852199999999997</v>
      </c>
      <c r="L2" s="33">
        <f>N2</f>
        <v>138.341869</v>
      </c>
      <c r="M2" s="34">
        <f>L2/$L$12</f>
        <v>1.7787065595958345</v>
      </c>
      <c r="N2" s="32">
        <v>138.341869</v>
      </c>
      <c r="O2" s="35">
        <f t="shared" ref="O2:O3" si="0">N2/$N$12</f>
        <v>1.036493767781421</v>
      </c>
      <c r="Z2" s="16">
        <v>9.8750979999999995</v>
      </c>
      <c r="AA2" s="3">
        <v>1.4192364316747383</v>
      </c>
      <c r="AB2" s="7"/>
    </row>
    <row r="3" spans="1:28" ht="55.5" customHeight="1" x14ac:dyDescent="0.25">
      <c r="A3" s="11">
        <v>1</v>
      </c>
      <c r="B3" s="24" t="s">
        <v>12</v>
      </c>
      <c r="C3" s="12">
        <v>8.7889759999999999</v>
      </c>
      <c r="D3" s="12">
        <f t="shared" ref="D3:D12" si="1">C3*10</f>
        <v>87.889759999999995</v>
      </c>
      <c r="E3" s="12">
        <v>323.14</v>
      </c>
      <c r="F3" s="12">
        <v>0.94683700000000004</v>
      </c>
      <c r="G3" s="18">
        <v>135.423597</v>
      </c>
      <c r="H3" s="12">
        <v>12.729552</v>
      </c>
      <c r="I3" s="12">
        <v>0.46790399999999999</v>
      </c>
      <c r="J3" s="12">
        <v>0.78332299999999999</v>
      </c>
      <c r="K3" s="29">
        <v>0.69561399999999995</v>
      </c>
      <c r="L3" s="33">
        <f>N3</f>
        <v>135.423597</v>
      </c>
      <c r="M3" s="34">
        <f t="shared" ref="M3:M12" si="2">L3/$L$12</f>
        <v>1.7411853840717069</v>
      </c>
      <c r="N3" s="32">
        <v>135.423597</v>
      </c>
      <c r="O3" s="35">
        <f t="shared" si="0"/>
        <v>1.0146293043145365</v>
      </c>
      <c r="Z3" s="16">
        <v>8.7889759999999999</v>
      </c>
      <c r="AA3" s="3">
        <v>1.3883787135709178</v>
      </c>
      <c r="AB3" s="7"/>
    </row>
    <row r="4" spans="1:28" ht="42.75" customHeight="1" x14ac:dyDescent="0.25">
      <c r="A4" s="11">
        <v>2</v>
      </c>
      <c r="B4" s="24" t="s">
        <v>13</v>
      </c>
      <c r="C4" s="12">
        <v>7.7028540000000003</v>
      </c>
      <c r="D4" s="12">
        <f t="shared" si="1"/>
        <v>77.028540000000007</v>
      </c>
      <c r="E4" s="12">
        <v>323.14</v>
      </c>
      <c r="F4" s="12">
        <v>0.94567800000000002</v>
      </c>
      <c r="G4" s="12">
        <f>N4</f>
        <v>132.67147867106226</v>
      </c>
      <c r="H4" s="12">
        <v>15.157303000000001</v>
      </c>
      <c r="I4" s="12">
        <v>0.42430499999999999</v>
      </c>
      <c r="J4" s="12">
        <v>0.80001599999999995</v>
      </c>
      <c r="K4" s="29">
        <v>0.70275600000000005</v>
      </c>
      <c r="L4" s="34">
        <f>L3*F3</f>
        <v>128.224072312689</v>
      </c>
      <c r="M4" s="34">
        <f t="shared" si="2"/>
        <v>1.6486187454983028</v>
      </c>
      <c r="N4" s="35">
        <f>(D3*G3) * (F3*I4*E4) / (D4*I3 * E3)</f>
        <v>132.67147867106226</v>
      </c>
      <c r="O4" s="35">
        <f>N4/$N$12</f>
        <v>0.99400970797135713</v>
      </c>
      <c r="Z4" s="16">
        <v>7.7028540000000003</v>
      </c>
      <c r="AA4" s="3">
        <v>1.3584827775156243</v>
      </c>
      <c r="AB4" s="7"/>
    </row>
    <row r="5" spans="1:28" ht="39.75" customHeight="1" x14ac:dyDescent="0.25">
      <c r="A5" s="11">
        <v>3</v>
      </c>
      <c r="B5" s="24" t="s">
        <v>14</v>
      </c>
      <c r="C5" s="12">
        <v>6.6167319999999998</v>
      </c>
      <c r="D5" s="12">
        <f t="shared" si="1"/>
        <v>66.167320000000004</v>
      </c>
      <c r="E5" s="12">
        <v>323.14</v>
      </c>
      <c r="F5" s="12">
        <v>0.94418599999999997</v>
      </c>
      <c r="G5" s="12">
        <f>N5</f>
        <v>130.03248178077999</v>
      </c>
      <c r="H5" s="12">
        <v>18.538464999999999</v>
      </c>
      <c r="I5" s="12">
        <v>0.377747</v>
      </c>
      <c r="J5" s="12">
        <v>0.81803400000000004</v>
      </c>
      <c r="K5" s="29">
        <v>0.70996400000000004</v>
      </c>
      <c r="L5" s="34">
        <f t="shared" ref="L5:L11" si="3">L4*F4</f>
        <v>121.25868425651912</v>
      </c>
      <c r="M5" s="34">
        <f t="shared" si="2"/>
        <v>1.5590624780053439</v>
      </c>
      <c r="N5" s="35">
        <f>(D4*G4) * (F4*I5*E5) / (D5*I4 * E4)</f>
        <v>130.03248178077999</v>
      </c>
      <c r="O5" s="35">
        <f t="shared" ref="O5:O12" si="4">N5/$N$12</f>
        <v>0.97423764728037343</v>
      </c>
      <c r="Z5" s="16">
        <v>6.6167320000000007</v>
      </c>
      <c r="AA5" s="3">
        <v>1.329342532559977</v>
      </c>
      <c r="AB5" s="7"/>
    </row>
    <row r="6" spans="1:28" ht="30.75" customHeight="1" x14ac:dyDescent="0.25">
      <c r="A6" s="11">
        <v>4</v>
      </c>
      <c r="B6" s="24" t="s">
        <v>15</v>
      </c>
      <c r="C6" s="12">
        <v>5.5306100000000002</v>
      </c>
      <c r="D6" s="12">
        <f t="shared" si="1"/>
        <v>55.306100000000001</v>
      </c>
      <c r="E6" s="12">
        <v>323.14</v>
      </c>
      <c r="F6" s="12">
        <v>0.94218900000000005</v>
      </c>
      <c r="G6" s="12">
        <f>N6</f>
        <v>127.49986207939885</v>
      </c>
      <c r="H6" s="12">
        <v>23.512172</v>
      </c>
      <c r="I6" s="12">
        <v>0.32789200000000002</v>
      </c>
      <c r="J6" s="12">
        <v>0.83724900000000002</v>
      </c>
      <c r="K6" s="29">
        <v>0.71727099999999999</v>
      </c>
      <c r="L6" s="34">
        <f t="shared" si="3"/>
        <v>114.49075205342575</v>
      </c>
      <c r="M6" s="34">
        <f t="shared" si="2"/>
        <v>1.4720449648579537</v>
      </c>
      <c r="N6" s="35">
        <f>(D5*G5) * (F5*I6*E6) / (D6*I5 * E5)</f>
        <v>127.49986207939885</v>
      </c>
      <c r="O6" s="35">
        <f t="shared" si="4"/>
        <v>0.95526259254374846</v>
      </c>
      <c r="Z6" s="16">
        <v>5.5306100000000002</v>
      </c>
      <c r="AA6" s="3">
        <v>1.3006809702582669</v>
      </c>
      <c r="AB6" s="7"/>
    </row>
    <row r="7" spans="1:28" ht="48.75" customHeight="1" x14ac:dyDescent="0.25">
      <c r="A7" s="11">
        <v>5</v>
      </c>
      <c r="B7" s="24" t="s">
        <v>16</v>
      </c>
      <c r="C7" s="12">
        <v>4.4444879999999998</v>
      </c>
      <c r="D7" s="12">
        <f t="shared" si="1"/>
        <v>44.444879999999998</v>
      </c>
      <c r="E7" s="12">
        <v>323.14</v>
      </c>
      <c r="F7" s="12">
        <v>0.93932599999999999</v>
      </c>
      <c r="G7" s="12">
        <f>N7</f>
        <v>125.07531402484655</v>
      </c>
      <c r="H7" s="12">
        <v>31.451965999999999</v>
      </c>
      <c r="I7" s="12">
        <v>0.27434900000000001</v>
      </c>
      <c r="J7" s="12">
        <v>0.85755899999999996</v>
      </c>
      <c r="K7" s="29">
        <v>0.724742</v>
      </c>
      <c r="L7" s="34">
        <f t="shared" si="3"/>
        <v>107.87192718646516</v>
      </c>
      <c r="M7" s="34">
        <f t="shared" si="2"/>
        <v>1.3869445733945505</v>
      </c>
      <c r="N7" s="35">
        <f>(D6*G6) * (F6*I7*E7) / (D7*I6 * E6)</f>
        <v>125.07531402484655</v>
      </c>
      <c r="O7" s="35">
        <f t="shared" si="4"/>
        <v>0.93709723908716025</v>
      </c>
      <c r="Z7" s="16">
        <v>4.4444879999999998</v>
      </c>
      <c r="AA7" s="3">
        <v>1.2720575760063662</v>
      </c>
      <c r="AB7" s="7"/>
    </row>
    <row r="8" spans="1:28" ht="40.5" customHeight="1" x14ac:dyDescent="0.25">
      <c r="A8" s="11">
        <v>6</v>
      </c>
      <c r="B8" s="24" t="s">
        <v>17</v>
      </c>
      <c r="C8" s="12">
        <v>3.3583660000000002</v>
      </c>
      <c r="D8" s="12">
        <f t="shared" si="1"/>
        <v>33.583660000000002</v>
      </c>
      <c r="E8" s="12">
        <v>323.14</v>
      </c>
      <c r="F8" s="12">
        <v>0.93470600000000004</v>
      </c>
      <c r="G8" s="12">
        <f t="shared" ref="G8:G11" si="5">N8</f>
        <v>122.78547470430027</v>
      </c>
      <c r="H8" s="12">
        <v>45.908934000000002</v>
      </c>
      <c r="I8" s="12">
        <v>0.21665499999999999</v>
      </c>
      <c r="J8" s="12">
        <v>0.87892800000000004</v>
      </c>
      <c r="K8" s="29">
        <v>0.73252700000000004</v>
      </c>
      <c r="L8" s="34">
        <f t="shared" si="3"/>
        <v>101.32690587635356</v>
      </c>
      <c r="M8" s="34">
        <f t="shared" si="2"/>
        <v>1.3027930983484095</v>
      </c>
      <c r="N8" s="35">
        <f>(D7*G7) * (F7*I8*E8) / (D8*I7 * E7)</f>
        <v>122.78547470430027</v>
      </c>
      <c r="O8" s="35">
        <f t="shared" si="4"/>
        <v>0.91994115899280304</v>
      </c>
      <c r="Z8" s="16">
        <v>3.3583660000000006</v>
      </c>
      <c r="AA8" s="3">
        <v>1.2426174335640801</v>
      </c>
      <c r="AB8" s="7"/>
    </row>
    <row r="9" spans="1:28" ht="33.75" customHeight="1" x14ac:dyDescent="0.25">
      <c r="A9" s="11">
        <v>7</v>
      </c>
      <c r="B9" s="24" t="s">
        <v>18</v>
      </c>
      <c r="C9" s="12">
        <v>2.2722440000000002</v>
      </c>
      <c r="D9" s="12">
        <f t="shared" si="1"/>
        <v>22.722440000000002</v>
      </c>
      <c r="E9" s="12">
        <v>323.14</v>
      </c>
      <c r="F9" s="12">
        <v>0.92551600000000001</v>
      </c>
      <c r="G9" s="12">
        <f t="shared" si="5"/>
        <v>120.76790701288876</v>
      </c>
      <c r="H9" s="12">
        <v>79.400073000000006</v>
      </c>
      <c r="I9" s="12">
        <v>0.15425</v>
      </c>
      <c r="J9" s="12">
        <v>0.90159999999999996</v>
      </c>
      <c r="K9" s="29">
        <v>0.74104400000000004</v>
      </c>
      <c r="L9" s="34">
        <f t="shared" si="3"/>
        <v>94.710866884062938</v>
      </c>
      <c r="M9" s="34">
        <f t="shared" si="2"/>
        <v>1.2177285257848485</v>
      </c>
      <c r="N9" s="35">
        <f>(D8*G8) * (F8*I9*E9) / (D9*I8 * E8)</f>
        <v>120.76790701288876</v>
      </c>
      <c r="O9" s="35">
        <f t="shared" si="4"/>
        <v>0.9048250097507744</v>
      </c>
      <c r="Z9" s="16">
        <v>2.2722440000000002</v>
      </c>
      <c r="AA9" s="3">
        <v>1.2101730958457293</v>
      </c>
      <c r="AB9" s="7"/>
    </row>
    <row r="10" spans="1:28" ht="37.5" customHeight="1" x14ac:dyDescent="0.25">
      <c r="A10" s="21">
        <v>8</v>
      </c>
      <c r="B10" s="25" t="s">
        <v>19</v>
      </c>
      <c r="C10" s="22">
        <v>1.1861219999999999</v>
      </c>
      <c r="D10" s="22">
        <f t="shared" si="1"/>
        <v>11.861219999999999</v>
      </c>
      <c r="E10" s="22">
        <v>323.14</v>
      </c>
      <c r="F10" s="22">
        <v>0.89744699999999999</v>
      </c>
      <c r="G10" s="22">
        <f t="shared" si="5"/>
        <v>119.96656251580204</v>
      </c>
      <c r="H10" s="22">
        <v>215.546561</v>
      </c>
      <c r="I10" s="22">
        <v>8.6421999999999999E-2</v>
      </c>
      <c r="J10" s="22">
        <v>0.92794699999999997</v>
      </c>
      <c r="K10" s="30">
        <v>0.75207400000000002</v>
      </c>
      <c r="L10" s="34">
        <f t="shared" si="3"/>
        <v>87.656422675070388</v>
      </c>
      <c r="M10" s="34">
        <f t="shared" si="2"/>
        <v>1.1270272342702896</v>
      </c>
      <c r="N10" s="36">
        <f>(D9*G9) * (F9*I10*E10) / (D10*I9 * E9)</f>
        <v>119.96656251580204</v>
      </c>
      <c r="O10" s="36">
        <f t="shared" si="4"/>
        <v>0.89882112543809156</v>
      </c>
      <c r="Z10" s="16">
        <v>1.1861219999999999</v>
      </c>
      <c r="AA10" s="3">
        <v>1.165673704984908</v>
      </c>
      <c r="AB10" s="7"/>
    </row>
    <row r="11" spans="1:28" s="6" customFormat="1" ht="37.5" customHeight="1" x14ac:dyDescent="0.25">
      <c r="A11" s="14">
        <v>9</v>
      </c>
      <c r="B11" s="26" t="s">
        <v>20</v>
      </c>
      <c r="C11" s="13">
        <v>0.1</v>
      </c>
      <c r="D11" s="13">
        <f t="shared" si="1"/>
        <v>1</v>
      </c>
      <c r="E11" s="13">
        <v>323.14</v>
      </c>
      <c r="F11" s="13">
        <v>0.69476700000000002</v>
      </c>
      <c r="G11" s="13">
        <f t="shared" si="5"/>
        <v>134.99887970306261</v>
      </c>
      <c r="H11" s="13">
        <v>8089.6172829999996</v>
      </c>
      <c r="I11" s="13">
        <v>9.136E-3</v>
      </c>
      <c r="J11" s="13">
        <v>0.98649600000000004</v>
      </c>
      <c r="K11" s="31">
        <v>0.78235399999999999</v>
      </c>
      <c r="L11" s="34">
        <f t="shared" si="3"/>
        <v>78.666993560473898</v>
      </c>
      <c r="M11" s="34">
        <f t="shared" si="2"/>
        <v>1.0114472103141687</v>
      </c>
      <c r="N11" s="37">
        <f>(D10*G10) * (F10*I11*E11) / (D11*I10 * E10)</f>
        <v>134.99887970306261</v>
      </c>
      <c r="O11" s="37">
        <f t="shared" si="4"/>
        <v>1.0114472103141685</v>
      </c>
      <c r="Z11" s="17">
        <v>0.1</v>
      </c>
      <c r="AA11" s="3">
        <v>1.0154634897187065</v>
      </c>
      <c r="AB11" s="7"/>
    </row>
    <row r="12" spans="1:28" ht="39" customHeight="1" x14ac:dyDescent="0.25">
      <c r="A12" s="11">
        <v>10</v>
      </c>
      <c r="B12" s="24" t="s">
        <v>9</v>
      </c>
      <c r="C12" s="12">
        <v>0.1</v>
      </c>
      <c r="D12" s="12">
        <f t="shared" si="1"/>
        <v>1</v>
      </c>
      <c r="E12" s="12">
        <v>293.14</v>
      </c>
      <c r="F12" s="12" t="s">
        <v>10</v>
      </c>
      <c r="G12" s="12">
        <v>242.66122999999999</v>
      </c>
      <c r="H12" s="12" t="s">
        <v>10</v>
      </c>
      <c r="I12" s="12">
        <v>9.9570000000000006E-3</v>
      </c>
      <c r="J12" s="12">
        <v>0.98512999999999995</v>
      </c>
      <c r="K12" s="29">
        <v>0.79131399999999996</v>
      </c>
      <c r="L12" s="34">
        <f>L11*I12*E12/(I11*E11)</f>
        <v>77.776667687915122</v>
      </c>
      <c r="M12" s="34">
        <f t="shared" si="2"/>
        <v>1</v>
      </c>
      <c r="N12" s="35">
        <f>G11*I12*E12/(I11*E11)</f>
        <v>133.47100899228366</v>
      </c>
      <c r="O12" s="35">
        <f t="shared" si="4"/>
        <v>1</v>
      </c>
      <c r="AA12" s="3"/>
    </row>
    <row r="14" spans="1:28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28" ht="53.2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Y18" s="3"/>
      <c r="Z18" s="10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Y19" s="3"/>
      <c r="Z19" s="10"/>
    </row>
    <row r="20" spans="1:26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Y20" s="3"/>
      <c r="Z20" s="10"/>
    </row>
    <row r="21" spans="1:26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Y21" s="3"/>
      <c r="Z21" s="10"/>
    </row>
    <row r="22" spans="1:26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Y22" s="3"/>
      <c r="Z22" s="10"/>
    </row>
    <row r="23" spans="1:26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Y23" s="3"/>
      <c r="Z23" s="10"/>
    </row>
    <row r="24" spans="1:26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Y24" s="3"/>
      <c r="Z24" s="10"/>
    </row>
    <row r="25" spans="1:26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Y25" s="3"/>
      <c r="Z25" s="10"/>
    </row>
    <row r="26" spans="1:26" x14ac:dyDescent="0.25">
      <c r="A26" s="4"/>
      <c r="B26" s="5"/>
      <c r="C26" s="5"/>
      <c r="D26" s="2"/>
      <c r="E26" s="5"/>
      <c r="F26" s="5"/>
      <c r="G26" s="5"/>
      <c r="H26" s="5"/>
      <c r="I26" s="5"/>
      <c r="J26" s="5"/>
      <c r="K26" s="5"/>
      <c r="Y26" s="3"/>
      <c r="Z26" s="10"/>
    </row>
    <row r="27" spans="1:26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Y27" s="3"/>
      <c r="Z27" s="10"/>
    </row>
  </sheetData>
  <mergeCells count="1">
    <mergeCell ref="AB1:AB1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7C6E-CA1F-4DBE-96EF-DA7EDBAA4EC1}">
  <dimension ref="A1:Y14"/>
  <sheetViews>
    <sheetView workbookViewId="0">
      <selection sqref="A1:Y14"/>
    </sheetView>
  </sheetViews>
  <sheetFormatPr defaultRowHeight="15" x14ac:dyDescent="0.25"/>
  <sheetData>
    <row r="1" spans="1:25" x14ac:dyDescent="0.25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2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M2" t="s">
        <v>23</v>
      </c>
      <c r="N2" t="s">
        <v>24</v>
      </c>
      <c r="O2" t="s">
        <v>25</v>
      </c>
    </row>
    <row r="3" spans="1:25" ht="25.5" x14ac:dyDescent="0.25">
      <c r="A3" s="1"/>
      <c r="B3" s="1" t="s">
        <v>0</v>
      </c>
      <c r="C3" s="1" t="s">
        <v>1</v>
      </c>
      <c r="D3" s="1" t="s">
        <v>21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1:25" ht="38.25" x14ac:dyDescent="0.25">
      <c r="A4" s="1">
        <v>0</v>
      </c>
      <c r="B4" s="2" t="s">
        <v>11</v>
      </c>
      <c r="C4" s="2">
        <v>9.8750979999999995</v>
      </c>
      <c r="D4" s="2">
        <f>C4*10</f>
        <v>98.750979999999998</v>
      </c>
      <c r="E4" s="2">
        <v>323.14</v>
      </c>
      <c r="F4" s="2">
        <v>0.99935200000000002</v>
      </c>
      <c r="G4" s="2">
        <v>138.341869</v>
      </c>
      <c r="H4" s="2">
        <v>0.13540199999999999</v>
      </c>
      <c r="I4" s="2">
        <v>0.50883400000000001</v>
      </c>
      <c r="J4" s="2">
        <v>0.76809099999999997</v>
      </c>
      <c r="K4" s="2">
        <v>0.68852199999999997</v>
      </c>
      <c r="M4">
        <f>H4*D4*293.14/(J4*E4*1)</f>
        <v>15.792037988461672</v>
      </c>
      <c r="N4">
        <f>M4</f>
        <v>15.792037988461672</v>
      </c>
      <c r="O4">
        <f>N4/$M$12</f>
        <v>6.3183914665997116E-3</v>
      </c>
      <c r="P4">
        <f>O13</f>
        <v>8.0933673191579434</v>
      </c>
    </row>
    <row r="5" spans="1:25" ht="38.25" x14ac:dyDescent="0.25">
      <c r="A5" s="1">
        <v>1</v>
      </c>
      <c r="B5" s="2" t="s">
        <v>12</v>
      </c>
      <c r="C5" s="2">
        <v>8.7889759999999999</v>
      </c>
      <c r="D5" s="2">
        <f t="shared" ref="D5:D14" si="0">C5*10</f>
        <v>87.889759999999995</v>
      </c>
      <c r="E5" s="2">
        <v>323.14</v>
      </c>
      <c r="F5" s="2">
        <v>0.94683700000000004</v>
      </c>
      <c r="G5" s="2">
        <v>135.423597</v>
      </c>
      <c r="H5" s="2">
        <v>12.729552</v>
      </c>
      <c r="I5" s="2">
        <v>0.46790399999999999</v>
      </c>
      <c r="J5" s="2">
        <v>0.78332299999999999</v>
      </c>
      <c r="K5" s="2">
        <v>0.69561399999999995</v>
      </c>
      <c r="M5">
        <f t="shared" ref="M5:M14" si="1">H5*D5*293.14/(J5*E5*1)</f>
        <v>1295.6714295885813</v>
      </c>
      <c r="N5">
        <f>M5+N4</f>
        <v>1311.463467577043</v>
      </c>
      <c r="O5">
        <f t="shared" ref="O5:O14" si="2">N5/$M$12</f>
        <v>0.52471628983861385</v>
      </c>
      <c r="P5">
        <f>O12</f>
        <v>5.117008001036667</v>
      </c>
      <c r="X5" s="3">
        <v>9.8750979999999995</v>
      </c>
      <c r="Y5" s="10">
        <v>143.5807585225748</v>
      </c>
    </row>
    <row r="6" spans="1:25" ht="38.25" x14ac:dyDescent="0.25">
      <c r="A6" s="1">
        <v>2</v>
      </c>
      <c r="B6" s="2" t="s">
        <v>13</v>
      </c>
      <c r="C6" s="2">
        <v>7.7028540000000003</v>
      </c>
      <c r="D6" s="2">
        <f t="shared" si="0"/>
        <v>77.028540000000007</v>
      </c>
      <c r="E6" s="2">
        <v>323.14</v>
      </c>
      <c r="F6" s="2">
        <v>0.94567800000000002</v>
      </c>
      <c r="G6" s="2">
        <f>M6</f>
        <v>1323.9125186787926</v>
      </c>
      <c r="H6" s="2">
        <v>15.157303000000001</v>
      </c>
      <c r="I6" s="2">
        <v>0.42430499999999999</v>
      </c>
      <c r="J6" s="2">
        <v>0.80001599999999995</v>
      </c>
      <c r="K6" s="2">
        <v>0.70275600000000005</v>
      </c>
      <c r="M6">
        <f t="shared" si="1"/>
        <v>1323.9125186787926</v>
      </c>
      <c r="N6">
        <f t="shared" ref="N6:N14" si="3">M6+N5</f>
        <v>2635.3759862558354</v>
      </c>
      <c r="O6">
        <f t="shared" si="2"/>
        <v>1.054413442711247</v>
      </c>
      <c r="P6">
        <f>O11</f>
        <v>4.1170080010366679</v>
      </c>
      <c r="X6" s="3">
        <v>8.7889759999999999</v>
      </c>
      <c r="Y6" s="10">
        <v>130.71161377342102</v>
      </c>
    </row>
    <row r="7" spans="1:25" ht="38.25" x14ac:dyDescent="0.25">
      <c r="A7" s="1">
        <v>3</v>
      </c>
      <c r="B7" s="2" t="s">
        <v>14</v>
      </c>
      <c r="C7" s="2">
        <v>6.6167319999999998</v>
      </c>
      <c r="D7" s="2">
        <f t="shared" si="0"/>
        <v>66.167320000000004</v>
      </c>
      <c r="E7" s="2">
        <v>323.14</v>
      </c>
      <c r="F7" s="2">
        <v>0.94418599999999997</v>
      </c>
      <c r="G7" s="2">
        <f>M7</f>
        <v>1360.286300187043</v>
      </c>
      <c r="H7" s="2">
        <v>18.538464999999999</v>
      </c>
      <c r="I7" s="2">
        <v>0.377747</v>
      </c>
      <c r="J7" s="2">
        <v>0.81803400000000004</v>
      </c>
      <c r="K7" s="2">
        <v>0.70996400000000004</v>
      </c>
      <c r="M7">
        <f t="shared" si="1"/>
        <v>1360.286300187043</v>
      </c>
      <c r="N7">
        <f t="shared" si="3"/>
        <v>3995.6622864428782</v>
      </c>
      <c r="O7">
        <f t="shared" si="2"/>
        <v>1.5986637388107146</v>
      </c>
      <c r="P7">
        <f>O10</f>
        <v>3.3907102879756801</v>
      </c>
      <c r="X7" s="3">
        <v>7.7028540000000003</v>
      </c>
      <c r="Y7" s="10">
        <v>118.26227322179007</v>
      </c>
    </row>
    <row r="8" spans="1:25" ht="38.25" x14ac:dyDescent="0.25">
      <c r="A8" s="1">
        <v>4</v>
      </c>
      <c r="B8" s="2" t="s">
        <v>15</v>
      </c>
      <c r="C8" s="2">
        <v>5.5306100000000002</v>
      </c>
      <c r="D8" s="2">
        <f t="shared" si="0"/>
        <v>55.306100000000001</v>
      </c>
      <c r="E8" s="2">
        <v>323.14</v>
      </c>
      <c r="F8" s="2">
        <v>0.94218900000000005</v>
      </c>
      <c r="G8" s="2">
        <f>M8</f>
        <v>1408.9497685081246</v>
      </c>
      <c r="H8" s="2">
        <v>23.512172</v>
      </c>
      <c r="I8" s="2">
        <v>0.32789200000000002</v>
      </c>
      <c r="J8" s="2">
        <v>0.83724900000000002</v>
      </c>
      <c r="K8" s="2">
        <v>0.71727099999999999</v>
      </c>
      <c r="M8">
        <f t="shared" si="1"/>
        <v>1408.9497685081246</v>
      </c>
      <c r="N8">
        <f t="shared" si="3"/>
        <v>5404.6120549510033</v>
      </c>
      <c r="O8">
        <f t="shared" si="2"/>
        <v>2.1623842795486339</v>
      </c>
      <c r="P8">
        <f>O9</f>
        <v>2.7540252475779261</v>
      </c>
      <c r="X8" s="3">
        <v>6.6167320000000007</v>
      </c>
      <c r="Y8" s="10">
        <v>106.1674405797993</v>
      </c>
    </row>
    <row r="9" spans="1:25" ht="38.25" x14ac:dyDescent="0.25">
      <c r="A9" s="1">
        <v>5</v>
      </c>
      <c r="B9" s="2" t="s">
        <v>16</v>
      </c>
      <c r="C9" s="2">
        <v>4.4444879999999998</v>
      </c>
      <c r="D9" s="2">
        <f t="shared" si="0"/>
        <v>44.444879999999998</v>
      </c>
      <c r="E9" s="2">
        <v>323.14</v>
      </c>
      <c r="F9" s="2">
        <v>0.93932599999999999</v>
      </c>
      <c r="G9" s="2">
        <f>M9</f>
        <v>1478.7334232199671</v>
      </c>
      <c r="H9" s="2">
        <v>31.451965999999999</v>
      </c>
      <c r="I9" s="2">
        <v>0.27434900000000001</v>
      </c>
      <c r="J9" s="2">
        <v>0.85755899999999996</v>
      </c>
      <c r="K9" s="2">
        <v>0.724742</v>
      </c>
      <c r="M9">
        <f t="shared" si="1"/>
        <v>1478.7334232199671</v>
      </c>
      <c r="N9">
        <f t="shared" si="3"/>
        <v>6883.3454781709706</v>
      </c>
      <c r="O9">
        <f t="shared" si="2"/>
        <v>2.7540252475779261</v>
      </c>
      <c r="P9">
        <f>O8</f>
        <v>2.1623842795486339</v>
      </c>
      <c r="X9" s="3">
        <v>5.5306100000000002</v>
      </c>
      <c r="Y9" s="10">
        <v>94.341551314275165</v>
      </c>
    </row>
    <row r="10" spans="1:25" ht="38.25" x14ac:dyDescent="0.25">
      <c r="A10" s="1">
        <v>6</v>
      </c>
      <c r="B10" s="2" t="s">
        <v>17</v>
      </c>
      <c r="C10" s="2">
        <v>3.3583660000000002</v>
      </c>
      <c r="D10" s="2">
        <f t="shared" si="0"/>
        <v>33.583660000000002</v>
      </c>
      <c r="E10" s="2">
        <v>323.14</v>
      </c>
      <c r="F10" s="2">
        <v>0.93470600000000004</v>
      </c>
      <c r="G10" s="2">
        <f t="shared" ref="G10:G13" si="4">M10</f>
        <v>1591.3155108854824</v>
      </c>
      <c r="H10" s="2">
        <v>45.908934000000002</v>
      </c>
      <c r="I10" s="2">
        <v>0.21665499999999999</v>
      </c>
      <c r="J10" s="2">
        <v>0.87892800000000004</v>
      </c>
      <c r="K10" s="2">
        <v>0.73252700000000004</v>
      </c>
      <c r="M10">
        <f t="shared" si="1"/>
        <v>1591.3155108854824</v>
      </c>
      <c r="N10">
        <f t="shared" si="3"/>
        <v>8474.6609890564523</v>
      </c>
      <c r="O10">
        <f t="shared" si="2"/>
        <v>3.3907102879756801</v>
      </c>
      <c r="P10">
        <f>O7</f>
        <v>1.5986637388107146</v>
      </c>
      <c r="X10" s="3">
        <v>4.4444879999999998</v>
      </c>
      <c r="Y10" s="10">
        <v>82.651075613231157</v>
      </c>
    </row>
    <row r="11" spans="1:25" ht="51" x14ac:dyDescent="0.25">
      <c r="A11" s="1">
        <v>7</v>
      </c>
      <c r="B11" s="2" t="s">
        <v>18</v>
      </c>
      <c r="C11" s="2">
        <v>2.2722440000000002</v>
      </c>
      <c r="D11" s="2">
        <f t="shared" si="0"/>
        <v>22.722440000000002</v>
      </c>
      <c r="E11" s="2">
        <v>323.14</v>
      </c>
      <c r="F11" s="2">
        <v>0.92551600000000001</v>
      </c>
      <c r="G11" s="2">
        <f t="shared" si="4"/>
        <v>1815.2913025764867</v>
      </c>
      <c r="H11" s="2">
        <v>79.400073000000006</v>
      </c>
      <c r="I11" s="2">
        <v>0.15425</v>
      </c>
      <c r="J11" s="2">
        <v>0.90159999999999996</v>
      </c>
      <c r="K11" s="2">
        <v>0.74104400000000004</v>
      </c>
      <c r="M11">
        <f t="shared" si="1"/>
        <v>1815.2913025764867</v>
      </c>
      <c r="N11">
        <f t="shared" si="3"/>
        <v>10289.952291632939</v>
      </c>
      <c r="O11">
        <f t="shared" si="2"/>
        <v>4.1170080010366679</v>
      </c>
      <c r="P11">
        <f>O6</f>
        <v>1.054413442711247</v>
      </c>
      <c r="X11" s="3">
        <v>3.3583660000000006</v>
      </c>
      <c r="Y11" s="10">
        <v>70.839920794854123</v>
      </c>
    </row>
    <row r="12" spans="1:25" ht="38.25" x14ac:dyDescent="0.25">
      <c r="A12" s="1">
        <v>8</v>
      </c>
      <c r="B12" s="2" t="s">
        <v>19</v>
      </c>
      <c r="C12" s="2">
        <v>1.1861219999999999</v>
      </c>
      <c r="D12" s="2">
        <f t="shared" si="0"/>
        <v>11.861219999999999</v>
      </c>
      <c r="E12" s="2">
        <v>323.14</v>
      </c>
      <c r="F12" s="2">
        <v>0.89744699999999999</v>
      </c>
      <c r="G12" s="2">
        <f t="shared" si="4"/>
        <v>2499.37631625732</v>
      </c>
      <c r="H12" s="2">
        <v>215.546561</v>
      </c>
      <c r="I12" s="2">
        <v>8.6421999999999999E-2</v>
      </c>
      <c r="J12" s="2">
        <v>0.92794699999999997</v>
      </c>
      <c r="K12" s="2">
        <v>0.75207400000000002</v>
      </c>
      <c r="M12">
        <f t="shared" si="1"/>
        <v>2499.37631625732</v>
      </c>
      <c r="N12">
        <f t="shared" si="3"/>
        <v>12789.328607890258</v>
      </c>
      <c r="O12">
        <f t="shared" si="2"/>
        <v>5.117008001036667</v>
      </c>
      <c r="P12">
        <f>O5</f>
        <v>0.52471628983861385</v>
      </c>
      <c r="X12" s="3">
        <v>2.2722440000000002</v>
      </c>
      <c r="Y12" s="10">
        <v>58.258445195860482</v>
      </c>
    </row>
    <row r="13" spans="1:25" ht="25.5" x14ac:dyDescent="0.25">
      <c r="A13" s="4">
        <v>9</v>
      </c>
      <c r="B13" s="5" t="s">
        <v>20</v>
      </c>
      <c r="C13" s="5">
        <v>0.1</v>
      </c>
      <c r="D13" s="2">
        <f t="shared" si="0"/>
        <v>1</v>
      </c>
      <c r="E13" s="5">
        <v>323.14</v>
      </c>
      <c r="F13" s="5">
        <v>0.69476700000000002</v>
      </c>
      <c r="G13" s="5">
        <f t="shared" si="4"/>
        <v>7439.0419883841032</v>
      </c>
      <c r="H13" s="5">
        <v>8089.6172829999996</v>
      </c>
      <c r="I13" s="5">
        <v>9.136E-3</v>
      </c>
      <c r="J13" s="5">
        <v>0.98649600000000004</v>
      </c>
      <c r="K13" s="5">
        <v>0.78235399999999999</v>
      </c>
      <c r="M13">
        <f t="shared" si="1"/>
        <v>7439.0419883841032</v>
      </c>
      <c r="N13">
        <f t="shared" si="3"/>
        <v>20228.370596274362</v>
      </c>
      <c r="O13">
        <f t="shared" si="2"/>
        <v>8.0933673191579434</v>
      </c>
      <c r="P13">
        <f>O4</f>
        <v>6.3183914665997116E-3</v>
      </c>
      <c r="X13" s="3">
        <v>1.1861219999999999</v>
      </c>
      <c r="Y13" s="10">
        <v>42.26559830255124</v>
      </c>
    </row>
    <row r="14" spans="1:25" ht="25.5" x14ac:dyDescent="0.25">
      <c r="A14" s="1">
        <v>10</v>
      </c>
      <c r="B14" s="2" t="s">
        <v>9</v>
      </c>
      <c r="C14" s="2">
        <v>0.1</v>
      </c>
      <c r="D14" s="2">
        <f t="shared" si="0"/>
        <v>1</v>
      </c>
      <c r="E14" s="2">
        <v>293.14</v>
      </c>
      <c r="F14" s="2" t="s">
        <v>10</v>
      </c>
      <c r="G14" s="2">
        <v>242.66122999999999</v>
      </c>
      <c r="H14" s="2" t="s">
        <v>10</v>
      </c>
      <c r="I14" s="2">
        <v>9.9570000000000006E-3</v>
      </c>
      <c r="J14" s="2">
        <v>0.98512999999999995</v>
      </c>
      <c r="K14" s="2">
        <v>0.79131399999999996</v>
      </c>
      <c r="M14" t="e">
        <f t="shared" si="1"/>
        <v>#VALUE!</v>
      </c>
      <c r="N14" t="e">
        <f t="shared" si="3"/>
        <v>#VALUE!</v>
      </c>
      <c r="O14" t="e">
        <f t="shared" si="2"/>
        <v>#VALUE!</v>
      </c>
      <c r="X14" s="3">
        <v>0.1</v>
      </c>
      <c r="Y14" s="10">
        <v>0</v>
      </c>
    </row>
  </sheetData>
  <mergeCells count="1">
    <mergeCell ref="A1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6784-2D0B-4C07-9FF5-E8A0CA774B69}">
  <dimension ref="A1:B12"/>
  <sheetViews>
    <sheetView workbookViewId="0">
      <selection activeCell="B3" sqref="B3:B12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>
        <v>11</v>
      </c>
    </row>
    <row r="3" spans="1:2" x14ac:dyDescent="0.25">
      <c r="A3">
        <v>10</v>
      </c>
      <c r="B3">
        <v>151.55628738405522</v>
      </c>
    </row>
    <row r="4" spans="1:2" x14ac:dyDescent="0.25">
      <c r="A4">
        <v>9</v>
      </c>
      <c r="B4">
        <v>95.821022890668687</v>
      </c>
    </row>
    <row r="5" spans="1:2" x14ac:dyDescent="0.25">
      <c r="A5">
        <v>8</v>
      </c>
      <c r="B5">
        <v>77.095036362749241</v>
      </c>
    </row>
    <row r="6" spans="1:2" x14ac:dyDescent="0.25">
      <c r="A6">
        <v>7</v>
      </c>
      <c r="B6">
        <v>63.494395172710476</v>
      </c>
    </row>
    <row r="7" spans="1:2" x14ac:dyDescent="0.25">
      <c r="A7">
        <v>6</v>
      </c>
      <c r="B7">
        <v>51.571839683694279</v>
      </c>
    </row>
    <row r="8" spans="1:2" x14ac:dyDescent="0.25">
      <c r="A8">
        <v>5</v>
      </c>
      <c r="B8">
        <v>40.492778887012534</v>
      </c>
    </row>
    <row r="9" spans="1:2" x14ac:dyDescent="0.25">
      <c r="A9">
        <v>4</v>
      </c>
      <c r="B9">
        <v>29.936555635642787</v>
      </c>
    </row>
    <row r="10" spans="1:2" x14ac:dyDescent="0.25">
      <c r="A10">
        <v>3</v>
      </c>
      <c r="B10">
        <v>19.744931923067984</v>
      </c>
    </row>
    <row r="11" spans="1:2" x14ac:dyDescent="0.25">
      <c r="A11">
        <v>2</v>
      </c>
      <c r="B11">
        <v>9.8258301744977636</v>
      </c>
    </row>
    <row r="12" spans="1:2" x14ac:dyDescent="0.25">
      <c r="A12">
        <v>1</v>
      </c>
      <c r="B12">
        <v>0.11831811348166743</v>
      </c>
    </row>
  </sheetData>
  <autoFilter ref="A1:B12" xr:uid="{36506784-2D0B-4C07-9FF5-E8A0CA774B69}">
    <sortState xmlns:xlrd2="http://schemas.microsoft.com/office/spreadsheetml/2017/richdata2" ref="A2:B12">
      <sortCondition descending="1" ref="A1:A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2025-11-11T21:33:39Z</dcterms:created>
  <dcterms:modified xsi:type="dcterms:W3CDTF">2025-11-11T23:57:25Z</dcterms:modified>
</cp:coreProperties>
</file>