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ink/ink1.xml" ContentType="application/inkml+xml"/>
  <Override PartName="/xl/ink/ink2.xml" ContentType="application/inkml+xml"/>
  <Override PartName="/xl/drawings/drawing2.xml" ContentType="application/vnd.openxmlformats-officedocument.drawing+xml"/>
  <Override PartName="/xl/ink/ink3.xml" ContentType="application/inkml+xml"/>
  <Override PartName="/xl/ink/ink4.xml" ContentType="application/inkml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VT_TSU\"/>
    </mc:Choice>
  </mc:AlternateContent>
  <xr:revisionPtr revIDLastSave="0" documentId="8_{E023F91D-94D6-4801-A768-2ACDB48A0008}" xr6:coauthVersionLast="47" xr6:coauthVersionMax="47" xr10:uidLastSave="{00000000-0000-0000-0000-000000000000}"/>
  <bookViews>
    <workbookView xWindow="-120" yWindow="-120" windowWidth="20730" windowHeight="11160" activeTab="2" xr2:uid="{48662164-845D-4A26-BC49-CD5211F291E0}"/>
  </bookViews>
  <sheets>
    <sheet name="Лист1" sheetId="1" r:id="rId1"/>
    <sheet name="Лист7" sheetId="8" r:id="rId2"/>
    <sheet name="Лист8" sheetId="9" r:id="rId3"/>
    <sheet name="Лист6" sheetId="7" r:id="rId4"/>
    <sheet name="3 ступени" sheetId="4" r:id="rId5"/>
    <sheet name="Лист5" sheetId="5" r:id="rId6"/>
    <sheet name="Лист4" sheetId="6" r:id="rId7"/>
    <sheet name="Лист3" sheetId="3" r:id="rId8"/>
    <sheet name="Лист2" sheetId="2" r:id="rId9"/>
  </sheets>
  <definedNames>
    <definedName name="_xlnm._FilterDatabase" localSheetId="8" hidden="1">Лист2!$A$1:$B$12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12" i="9" l="1"/>
  <c r="Z118" i="9"/>
  <c r="Z117" i="9"/>
  <c r="Z116" i="9"/>
  <c r="Z115" i="9"/>
  <c r="Z114" i="9"/>
  <c r="Z113" i="9"/>
  <c r="Y114" i="9"/>
  <c r="Y115" i="9"/>
  <c r="Y116" i="9"/>
  <c r="Y117" i="9"/>
  <c r="Y118" i="9"/>
  <c r="Y113" i="9"/>
  <c r="U118" i="9"/>
  <c r="U117" i="9"/>
  <c r="V117" i="9" s="1"/>
  <c r="U116" i="9"/>
  <c r="V116" i="9" s="1"/>
  <c r="U115" i="9"/>
  <c r="U114" i="9"/>
  <c r="V114" i="9" s="1"/>
  <c r="U113" i="9"/>
  <c r="V113" i="9" s="1"/>
  <c r="W113" i="9" s="1"/>
  <c r="X113" i="9" s="1"/>
  <c r="V118" i="9"/>
  <c r="V115" i="9"/>
  <c r="Q113" i="9"/>
  <c r="R113" i="9" s="1"/>
  <c r="R112" i="9"/>
  <c r="R114" i="9"/>
  <c r="R115" i="9"/>
  <c r="R116" i="9"/>
  <c r="R117" i="9"/>
  <c r="R118" i="9"/>
  <c r="R119" i="9"/>
  <c r="R111" i="9"/>
  <c r="Q119" i="9"/>
  <c r="Q118" i="9"/>
  <c r="Q117" i="9"/>
  <c r="Q116" i="9"/>
  <c r="Q115" i="9"/>
  <c r="Q114" i="9"/>
  <c r="Q112" i="9"/>
  <c r="Q111" i="9"/>
  <c r="T76" i="9"/>
  <c r="T77" i="9"/>
  <c r="T78" i="9"/>
  <c r="T79" i="9"/>
  <c r="T80" i="9"/>
  <c r="P67" i="9"/>
  <c r="Q57" i="9"/>
  <c r="T66" i="9"/>
  <c r="T65" i="9"/>
  <c r="Q66" i="9"/>
  <c r="Q65" i="9"/>
  <c r="R65" i="9"/>
  <c r="M66" i="9"/>
  <c r="M65" i="9"/>
  <c r="R57" i="9"/>
  <c r="Q77" i="9"/>
  <c r="Q78" i="9"/>
  <c r="Q79" i="9"/>
  <c r="Q80" i="9"/>
  <c r="Q76" i="9"/>
  <c r="R76" i="9" s="1"/>
  <c r="O75" i="9"/>
  <c r="O76" i="9"/>
  <c r="O77" i="9"/>
  <c r="O78" i="9"/>
  <c r="O79" i="9"/>
  <c r="O80" i="9"/>
  <c r="O81" i="9"/>
  <c r="O74" i="9"/>
  <c r="P80" i="9"/>
  <c r="P79" i="9"/>
  <c r="P78" i="9"/>
  <c r="P81" i="9"/>
  <c r="P77" i="9"/>
  <c r="P76" i="9"/>
  <c r="P74" i="9"/>
  <c r="P75" i="9"/>
  <c r="O64" i="9"/>
  <c r="O65" i="9"/>
  <c r="O66" i="9"/>
  <c r="O67" i="9"/>
  <c r="O63" i="9"/>
  <c r="P66" i="9"/>
  <c r="P65" i="9"/>
  <c r="P64" i="9"/>
  <c r="P63" i="9"/>
  <c r="O56" i="9"/>
  <c r="O57" i="9"/>
  <c r="O55" i="9"/>
  <c r="O58" i="9"/>
  <c r="P58" i="9"/>
  <c r="O46" i="9"/>
  <c r="O47" i="9"/>
  <c r="O48" i="9"/>
  <c r="O49" i="9"/>
  <c r="P49" i="9"/>
  <c r="N39" i="9"/>
  <c r="N40" i="9"/>
  <c r="N41" i="9"/>
  <c r="N38" i="9"/>
  <c r="N32" i="9"/>
  <c r="V32" i="9"/>
  <c r="V33" i="9"/>
  <c r="V31" i="9"/>
  <c r="O29" i="9"/>
  <c r="O30" i="9"/>
  <c r="O31" i="9"/>
  <c r="O32" i="9"/>
  <c r="N29" i="9"/>
  <c r="N31" i="9"/>
  <c r="N30" i="9"/>
  <c r="N21" i="9"/>
  <c r="O21" i="9" s="1"/>
  <c r="O22" i="9"/>
  <c r="O23" i="9"/>
  <c r="O24" i="9"/>
  <c r="N24" i="9"/>
  <c r="N23" i="9"/>
  <c r="N22" i="9"/>
  <c r="N15" i="9"/>
  <c r="O13" i="9"/>
  <c r="O14" i="9"/>
  <c r="O15" i="9"/>
  <c r="N14" i="9"/>
  <c r="N13" i="9"/>
  <c r="T3" i="9"/>
  <c r="T4" i="9"/>
  <c r="T5" i="9"/>
  <c r="T6" i="9"/>
  <c r="S3" i="9"/>
  <c r="S6" i="9"/>
  <c r="S5" i="9"/>
  <c r="S4" i="9"/>
  <c r="Q4" i="9"/>
  <c r="N4" i="9"/>
  <c r="O4" i="9" s="1"/>
  <c r="Q5" i="9"/>
  <c r="Q6" i="9"/>
  <c r="N6" i="9"/>
  <c r="O5" i="9" s="1"/>
  <c r="Q3" i="9"/>
  <c r="N3" i="9"/>
  <c r="N5" i="9"/>
  <c r="Q2" i="8"/>
  <c r="Q3" i="8"/>
  <c r="Q4" i="8"/>
  <c r="Q5" i="8"/>
  <c r="Q6" i="8"/>
  <c r="Q7" i="8"/>
  <c r="Q8" i="8"/>
  <c r="Q9" i="8"/>
  <c r="Q11" i="8"/>
  <c r="Q12" i="8"/>
  <c r="Q13" i="8"/>
  <c r="Q14" i="8"/>
  <c r="Q15" i="8"/>
  <c r="Q16" i="8"/>
  <c r="Q10" i="8"/>
  <c r="O3" i="8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2" i="8"/>
  <c r="AL27" i="1"/>
  <c r="AM27" i="1"/>
  <c r="AM20" i="1"/>
  <c r="AM21" i="1"/>
  <c r="AM22" i="1"/>
  <c r="AM23" i="1"/>
  <c r="AM24" i="1"/>
  <c r="AM25" i="1"/>
  <c r="AM26" i="1"/>
  <c r="AM19" i="1"/>
  <c r="AM18" i="1"/>
  <c r="AL18" i="1"/>
  <c r="AL19" i="1"/>
  <c r="AL20" i="1"/>
  <c r="AL21" i="1"/>
  <c r="AL22" i="1"/>
  <c r="AL23" i="1"/>
  <c r="AL24" i="1"/>
  <c r="AL25" i="1"/>
  <c r="AL26" i="1"/>
  <c r="AC5" i="4"/>
  <c r="N4" i="6"/>
  <c r="N5" i="6"/>
  <c r="N6" i="6"/>
  <c r="N3" i="6"/>
  <c r="M9" i="6"/>
  <c r="M3" i="6"/>
  <c r="M4" i="6"/>
  <c r="M6" i="6"/>
  <c r="M5" i="6"/>
  <c r="M7" i="6"/>
  <c r="AA7" i="5"/>
  <c r="AA8" i="5"/>
  <c r="AA9" i="5"/>
  <c r="AA6" i="5"/>
  <c r="R9" i="5"/>
  <c r="Q12" i="5"/>
  <c r="Q8" i="5"/>
  <c r="R7" i="5" s="1"/>
  <c r="Q9" i="5"/>
  <c r="Q7" i="5"/>
  <c r="Q6" i="5"/>
  <c r="AD5" i="4"/>
  <c r="AD6" i="4"/>
  <c r="AD4" i="4"/>
  <c r="AC6" i="4"/>
  <c r="AC4" i="4"/>
  <c r="T32" i="4"/>
  <c r="U32" i="4"/>
  <c r="S32" i="4"/>
  <c r="AB8" i="4"/>
  <c r="AB5" i="4"/>
  <c r="AB6" i="4"/>
  <c r="AB4" i="4"/>
  <c r="AA6" i="4"/>
  <c r="AA5" i="4"/>
  <c r="AA4" i="4"/>
  <c r="Z4" i="4" a="1"/>
  <c r="Z4" i="4" s="1"/>
  <c r="U8" i="4"/>
  <c r="U9" i="4" s="1"/>
  <c r="U31" i="4" s="1"/>
  <c r="T8" i="4"/>
  <c r="S8" i="4"/>
  <c r="S9" i="4" s="1"/>
  <c r="S31" i="4" s="1"/>
  <c r="S29" i="4"/>
  <c r="T29" i="4"/>
  <c r="U29" i="4"/>
  <c r="T28" i="4"/>
  <c r="U28" i="4"/>
  <c r="S28" i="4"/>
  <c r="T27" i="4"/>
  <c r="U27" i="4"/>
  <c r="S27" i="4"/>
  <c r="T9" i="4"/>
  <c r="T31" i="4" s="1"/>
  <c r="N5" i="4"/>
  <c r="O5" i="4"/>
  <c r="N6" i="4"/>
  <c r="O6" i="4"/>
  <c r="N7" i="4"/>
  <c r="O7" i="4"/>
  <c r="N8" i="4"/>
  <c r="O8" i="4"/>
  <c r="N9" i="4"/>
  <c r="O9" i="4"/>
  <c r="N10" i="4"/>
  <c r="O10" i="4"/>
  <c r="N11" i="4"/>
  <c r="O11" i="4"/>
  <c r="N12" i="4"/>
  <c r="O12" i="4"/>
  <c r="N13" i="4"/>
  <c r="O13" i="4"/>
  <c r="N14" i="4"/>
  <c r="O14" i="4"/>
  <c r="N15" i="4"/>
  <c r="O15" i="4"/>
  <c r="N16" i="4"/>
  <c r="O16" i="4"/>
  <c r="N17" i="4"/>
  <c r="O17" i="4"/>
  <c r="N18" i="4"/>
  <c r="O18" i="4"/>
  <c r="N19" i="4"/>
  <c r="O19" i="4"/>
  <c r="N20" i="4"/>
  <c r="O20" i="4"/>
  <c r="N21" i="4"/>
  <c r="O21" i="4"/>
  <c r="N22" i="4"/>
  <c r="O22" i="4"/>
  <c r="N23" i="4"/>
  <c r="O23" i="4"/>
  <c r="N24" i="4"/>
  <c r="O24" i="4"/>
  <c r="N25" i="4"/>
  <c r="O25" i="4"/>
  <c r="N26" i="4"/>
  <c r="O26" i="4"/>
  <c r="N27" i="4"/>
  <c r="O27" i="4"/>
  <c r="N28" i="4"/>
  <c r="O28" i="4"/>
  <c r="N29" i="4"/>
  <c r="O29" i="4"/>
  <c r="N30" i="4"/>
  <c r="O30" i="4"/>
  <c r="N31" i="4"/>
  <c r="O31" i="4"/>
  <c r="N32" i="4"/>
  <c r="O32" i="4"/>
  <c r="N33" i="4"/>
  <c r="O33" i="4"/>
  <c r="N34" i="4"/>
  <c r="O34" i="4"/>
  <c r="N35" i="4"/>
  <c r="O35" i="4"/>
  <c r="N36" i="4"/>
  <c r="O36" i="4"/>
  <c r="N37" i="4"/>
  <c r="O37" i="4"/>
  <c r="N38" i="4"/>
  <c r="O38" i="4"/>
  <c r="N39" i="4"/>
  <c r="O39" i="4"/>
  <c r="N40" i="4"/>
  <c r="O40" i="4"/>
  <c r="N41" i="4"/>
  <c r="O41" i="4"/>
  <c r="N42" i="4"/>
  <c r="O42" i="4"/>
  <c r="N43" i="4"/>
  <c r="O43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5" i="4"/>
  <c r="R3" i="1"/>
  <c r="R4" i="1"/>
  <c r="R5" i="1"/>
  <c r="R6" i="1"/>
  <c r="R7" i="1"/>
  <c r="R8" i="1"/>
  <c r="R9" i="1"/>
  <c r="R10" i="1"/>
  <c r="R11" i="1"/>
  <c r="R2" i="1"/>
  <c r="G12" i="1"/>
  <c r="G4" i="1"/>
  <c r="G5" i="1" s="1"/>
  <c r="G6" i="1" s="1"/>
  <c r="G7" i="1" s="1"/>
  <c r="G8" i="1" s="1"/>
  <c r="G9" i="1" s="1"/>
  <c r="G10" i="1" s="1"/>
  <c r="G11" i="1" s="1"/>
  <c r="G3" i="1"/>
  <c r="G2" i="1"/>
  <c r="N3" i="1"/>
  <c r="N4" i="1" s="1"/>
  <c r="N5" i="1" s="1"/>
  <c r="N6" i="1" s="1"/>
  <c r="N7" i="1" s="1"/>
  <c r="N8" i="1" s="1"/>
  <c r="N9" i="1" s="1"/>
  <c r="N10" i="1" s="1"/>
  <c r="N11" i="1" s="1"/>
  <c r="N2" i="1"/>
  <c r="D14" i="3"/>
  <c r="D13" i="3"/>
  <c r="G12" i="3"/>
  <c r="D12" i="3"/>
  <c r="D11" i="3"/>
  <c r="G10" i="3"/>
  <c r="D10" i="3"/>
  <c r="D9" i="3"/>
  <c r="G8" i="3"/>
  <c r="D8" i="3"/>
  <c r="D7" i="3"/>
  <c r="G6" i="3"/>
  <c r="D6" i="3"/>
  <c r="D5" i="3"/>
  <c r="D4" i="3"/>
  <c r="D11" i="1"/>
  <c r="D12" i="1"/>
  <c r="D3" i="1"/>
  <c r="D4" i="1"/>
  <c r="D5" i="1"/>
  <c r="D6" i="1"/>
  <c r="D7" i="1"/>
  <c r="D8" i="1"/>
  <c r="D9" i="1"/>
  <c r="D10" i="1"/>
  <c r="D2" i="1"/>
  <c r="W114" i="9" l="1"/>
  <c r="R66" i="9"/>
  <c r="R77" i="9"/>
  <c r="N33" i="9"/>
  <c r="O3" i="9"/>
  <c r="O6" i="9"/>
  <c r="R6" i="5"/>
  <c r="R8" i="5"/>
  <c r="Z5" i="4"/>
  <c r="Z6" i="4"/>
  <c r="P4" i="1"/>
  <c r="I4" i="1" s="1"/>
  <c r="P5" i="1" s="1"/>
  <c r="I5" i="1" s="1"/>
  <c r="G9" i="3"/>
  <c r="G11" i="3"/>
  <c r="G7" i="3"/>
  <c r="G13" i="3"/>
  <c r="W115" i="9" l="1"/>
  <c r="X114" i="9"/>
  <c r="R78" i="9"/>
  <c r="O33" i="9"/>
  <c r="P6" i="1"/>
  <c r="I6" i="1" s="1"/>
  <c r="W116" i="9" l="1"/>
  <c r="X115" i="9"/>
  <c r="R79" i="9"/>
  <c r="P7" i="1"/>
  <c r="I7" i="1" s="1"/>
  <c r="W117" i="9" l="1"/>
  <c r="X116" i="9"/>
  <c r="R80" i="9"/>
  <c r="P8" i="1"/>
  <c r="I8" i="1" s="1"/>
  <c r="W118" i="9" l="1"/>
  <c r="X118" i="9" s="1"/>
  <c r="X117" i="9"/>
  <c r="P9" i="1"/>
  <c r="I9" i="1" s="1"/>
  <c r="P10" i="1" l="1"/>
  <c r="I10" i="1" s="1"/>
  <c r="P11" i="1" l="1"/>
  <c r="I11" i="1" s="1"/>
  <c r="P12" i="1" s="1"/>
  <c r="N12" i="1" l="1"/>
  <c r="Q11" i="1"/>
  <c r="O12" i="1" l="1"/>
  <c r="O3" i="1"/>
  <c r="O4" i="1"/>
  <c r="O2" i="1"/>
  <c r="O5" i="1"/>
  <c r="O6" i="1"/>
  <c r="O7" i="1"/>
  <c r="O8" i="1"/>
  <c r="O9" i="1"/>
  <c r="O10" i="1"/>
  <c r="O11" i="1"/>
  <c r="Q2" i="1"/>
  <c r="Q10" i="1"/>
  <c r="Q5" i="1"/>
  <c r="Q6" i="1"/>
  <c r="Q8" i="1"/>
  <c r="Q4" i="1"/>
  <c r="Q12" i="1"/>
  <c r="Q7" i="1"/>
  <c r="Q9" i="1"/>
  <c r="Q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3" authorId="0" shapeId="0" xr:uid="{C0C3E565-D7C6-486C-95DF-BF951893E350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Светло серый - напрямую из питона без пересчетов</t>
        </r>
      </text>
    </comment>
    <comment ref="P4" authorId="0" shapeId="0" xr:uid="{70088FB1-DE11-49CE-B758-DAAD99106D57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Расчет отсюда и вниз по столбцу по формулке нарисованной красным. Считаю с этой ступени, так как со ступени при Рнас ничего не отводится, насколько я предполагаю, следовательно, отвод газа будет при следующем снижении давления, а повлияет это только на третью ступень</t>
        </r>
      </text>
    </comment>
    <comment ref="N12" authorId="0" shapeId="0" xr:uid="{4DA46560-6A9B-4124-BED9-52AC93FFD39D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Здесь расчет  из соотношений Т и Z, Fl уже не используется
</t>
        </r>
      </text>
    </comment>
    <comment ref="P12" authorId="0" shapeId="0" xr:uid="{4CC071E0-0AEF-428D-9AD0-4884C74C866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Здесь расчет  из соотношений Т и Z, Fl уже не используется
</t>
        </r>
      </text>
    </comment>
  </commentList>
</comments>
</file>

<file path=xl/sharedStrings.xml><?xml version="1.0" encoding="utf-8"?>
<sst xmlns="http://schemas.openxmlformats.org/spreadsheetml/2006/main" count="549" uniqueCount="164">
  <si>
    <t>Key</t>
  </si>
  <si>
    <t>Pressure</t>
  </si>
  <si>
    <t>Temperature</t>
  </si>
  <si>
    <t>FL</t>
  </si>
  <si>
    <t>Vl</t>
  </si>
  <si>
    <t>Vg</t>
  </si>
  <si>
    <t>Zliq</t>
  </si>
  <si>
    <t>Zgas</t>
  </si>
  <si>
    <t>ODEN</t>
  </si>
  <si>
    <t>0.1_293.14</t>
  </si>
  <si>
    <t>NaN</t>
  </si>
  <si>
    <t>9.87509765625_323.14</t>
  </si>
  <si>
    <t>8.788975694444446_323.14</t>
  </si>
  <si>
    <t>7.702853732638889_323.14</t>
  </si>
  <si>
    <t>6.616731770833334_323.14</t>
  </si>
  <si>
    <t>5.530609809027778_323.14</t>
  </si>
  <si>
    <t>4.444487847222223_323.14</t>
  </si>
  <si>
    <t>3.358365885416667_323.14</t>
  </si>
  <si>
    <t>2.2722439236111116_323.14</t>
  </si>
  <si>
    <t>1.186121961805556_323.14</t>
  </si>
  <si>
    <t>0.1_323.14</t>
  </si>
  <si>
    <t>P bar</t>
  </si>
  <si>
    <t>RS</t>
  </si>
  <si>
    <t>f</t>
  </si>
  <si>
    <t>b</t>
  </si>
  <si>
    <t>Р</t>
  </si>
  <si>
    <t>Во</t>
  </si>
  <si>
    <t>РVTSim</t>
  </si>
  <si>
    <t>L VOL
 прямым перемножением</t>
  </si>
  <si>
    <t>L VOL через урс</t>
  </si>
  <si>
    <t>BOD через урс</t>
  </si>
  <si>
    <t>BOD прямым перемножением</t>
  </si>
  <si>
    <t>4.987548828125_323.14</t>
  </si>
  <si>
    <t>Исходник из python</t>
  </si>
  <si>
    <t>Vl исх</t>
  </si>
  <si>
    <t>FL*FL</t>
  </si>
  <si>
    <t>FL*FL*VL</t>
  </si>
  <si>
    <t>CO2</t>
  </si>
  <si>
    <t>C1</t>
  </si>
  <si>
    <t>C2</t>
  </si>
  <si>
    <t>C3</t>
  </si>
  <si>
    <t>iC4</t>
  </si>
  <si>
    <t>nC4</t>
  </si>
  <si>
    <t>iC5</t>
  </si>
  <si>
    <t>nC5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</si>
  <si>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</si>
  <si>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</si>
  <si>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</si>
  <si>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</si>
  <si>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</si>
  <si>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</si>
  <si>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</si>
  <si>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</si>
  <si>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</si>
  <si>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</si>
  <si>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</si>
  <si>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</si>
  <si>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</si>
  <si>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</si>
  <si>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</si>
  <si>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</si>
  <si>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</si>
  <si>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</si>
  <si>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</si>
  <si>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</si>
  <si>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</si>
  <si>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</si>
  <si>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</si>
  <si>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</si>
  <si>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</si>
  <si>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</si>
  <si>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</si>
  <si>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</si>
  <si>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</si>
  <si>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</si>
  <si>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</si>
  <si>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Составы жидкой фазы по ступеням</t>
  </si>
  <si>
    <t>Р Мпа</t>
  </si>
  <si>
    <t>PVTSim</t>
  </si>
  <si>
    <t>Свод ошибок по составу</t>
  </si>
  <si>
    <t>Fl</t>
  </si>
  <si>
    <t>Zl</t>
  </si>
  <si>
    <t>DENS</t>
  </si>
  <si>
    <t>Vol</t>
  </si>
  <si>
    <t>molar vol</t>
  </si>
  <si>
    <t>Molar vol</t>
  </si>
  <si>
    <t>PVTSIM</t>
  </si>
  <si>
    <t>Python</t>
  </si>
  <si>
    <t>Свод ошибок по свойствам по ступеням</t>
  </si>
  <si>
    <t>7.71796875_293.14</t>
  </si>
  <si>
    <t>3.9089843749999997_293.14</t>
  </si>
  <si>
    <t>STC_0.1_293.14</t>
  </si>
  <si>
    <t>Bo</t>
  </si>
  <si>
    <t>P</t>
  </si>
  <si>
    <t>FLASH VL</t>
  </si>
  <si>
    <t>V *FL*FL</t>
  </si>
  <si>
    <t>FV</t>
  </si>
  <si>
    <t>GDEN</t>
  </si>
  <si>
    <t>Mvol gas</t>
  </si>
  <si>
    <t>Fv</t>
  </si>
  <si>
    <t>STC_0.101325_293.14</t>
  </si>
  <si>
    <t>6.616731770833333_323.14</t>
  </si>
  <si>
    <t>3.3583658854166663_323.14</t>
  </si>
  <si>
    <t>Molar vol liq</t>
  </si>
  <si>
    <t>Fl * Vl</t>
  </si>
  <si>
    <t>Molar vol gas</t>
  </si>
  <si>
    <t>Fli*Fli-1*Vlmol</t>
  </si>
  <si>
    <t>Index</t>
  </si>
  <si>
    <t>Liquid Z</t>
  </si>
  <si>
    <t>Gas Z</t>
  </si>
  <si>
    <t>Liquid volume</t>
  </si>
  <si>
    <t>Gas volume</t>
  </si>
  <si>
    <t>Liquid density</t>
  </si>
  <si>
    <t>Gas density</t>
  </si>
  <si>
    <t>24_353.14</t>
  </si>
  <si>
    <t>22_353.14</t>
  </si>
  <si>
    <t>20_353.14</t>
  </si>
  <si>
    <t>18_353.14</t>
  </si>
  <si>
    <t>16_353.14</t>
  </si>
  <si>
    <t>14_353.14</t>
  </si>
  <si>
    <t>12_353.14</t>
  </si>
  <si>
    <t>11.925894737243656_353.14</t>
  </si>
  <si>
    <t>10_353.14</t>
  </si>
  <si>
    <t>8_353.14</t>
  </si>
  <si>
    <t>6_353.14</t>
  </si>
  <si>
    <t>4_353.14</t>
  </si>
  <si>
    <t>2_353.14</t>
  </si>
  <si>
    <t>0.1_353.14</t>
  </si>
  <si>
    <t>Molar vol
до учета изменения количества вещества</t>
  </si>
  <si>
    <t>Fli-1*VL</t>
  </si>
  <si>
    <t>22_323.14</t>
  </si>
  <si>
    <t>9.888154959678653_323.14</t>
  </si>
  <si>
    <t>8_323.14</t>
  </si>
  <si>
    <t>Vnew</t>
  </si>
  <si>
    <t>22_293.14</t>
  </si>
  <si>
    <t>7.722385978698731_293.14</t>
  </si>
  <si>
    <t>5_293.14</t>
  </si>
  <si>
    <t>22_373.14</t>
  </si>
  <si>
    <t>13.167064428329468_373.14</t>
  </si>
  <si>
    <t>0.1_373.14</t>
  </si>
  <si>
    <t>здесь неправильно считается флеш
скорее всего идет не тот состав</t>
  </si>
  <si>
    <t>ЗДЕСЬ ПРАВИЛЬНАЯ РЕАЛИЗАЦИЯ ПРИ ИЗМЕНЕНИИ Т:
объем с последней ступени множим на FL предыдущей ступени</t>
  </si>
  <si>
    <t>5_323.14</t>
  </si>
  <si>
    <t>7_323.14</t>
  </si>
  <si>
    <t>3_323.14</t>
  </si>
  <si>
    <t>1_323.14</t>
  </si>
  <si>
    <t>python</t>
  </si>
  <si>
    <t>corrected vol</t>
  </si>
  <si>
    <t>Gas vol stc</t>
  </si>
  <si>
    <t>Gas vol acc</t>
  </si>
  <si>
    <t>Gvol stc</t>
  </si>
  <si>
    <t xml:space="preserve"> </t>
  </si>
  <si>
    <t>corr vol</t>
  </si>
  <si>
    <t>9_353.14</t>
  </si>
  <si>
    <t>7_353.14</t>
  </si>
  <si>
    <t>5_353.14</t>
  </si>
  <si>
    <t>3_353.14</t>
  </si>
  <si>
    <t>1_353.14</t>
  </si>
  <si>
    <t>Bo pvtsim</t>
  </si>
  <si>
    <t>Gvol fl</t>
  </si>
  <si>
    <t>Gvol to stc</t>
  </si>
  <si>
    <t>Gvol acc</t>
  </si>
  <si>
    <t>Rs1</t>
  </si>
  <si>
    <t>Rs pvtsim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</si>
</sst>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b/>
      <sz val="18"/>
      <color theme="3"/>
      <name val="Calibri Light"/>
      <family val="2"/>
      <charset val="204"/>
      <scheme val="major"/>
    </font>
    <font>
      <sz val="10"/>
      <color theme="1"/>
      <name val="Tahoma"/>
      <family val="2"/>
      <charset val="204"/>
    </font>
    <font>
      <b/>
      <sz val="10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sz val="10"/>
      <color rgb="FFFF0000"/>
      <name val="Tahoma"/>
      <family val="2"/>
      <charset val="204"/>
    </font>
    <font>
      <b/>
      <sz val="10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rgb="FF000000"/>
      <name val="Consolas"/>
      <family val="3"/>
      <charset val="204"/>
    </font>
    <font>
      <sz val="11"/>
      <color rgb="FF000000"/>
      <name val="Segoe UI"/>
      <family val="2"/>
      <charset val="204"/>
    </font>
    <font>
      <sz val="11"/>
      <color theme="1"/>
      <name val="Calibri"/>
      <scheme val="minor"/>
    </font>
    <font>
      <sz val="10"/>
      <color theme="1"/>
      <name val="Tahoma"/>
    </font>
    <font>
      <b/>
      <sz val="11"/>
      <color rgb="FFFF0000"/>
      <name val="Calibri"/>
      <family val="2"/>
      <charset val="204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4" tint="0.80001220740379042"/>
        <bgColor indexed="64"/>
      </patternFill>
    </fill>
    <fill>
      <patternFill patternType="solid">
        <fgColor theme="5" tint="0.80001220740379042"/>
        <bgColor indexed="64"/>
      </patternFill>
    </fill>
    <fill>
      <patternFill patternType="solid">
        <fgColor theme="6" tint="0.80001220740379042"/>
        <bgColor indexed="64"/>
      </patternFill>
    </fill>
    <fill>
      <patternFill patternType="solid">
        <fgColor theme="7" tint="0.80001220740379042"/>
        <bgColor indexed="64"/>
      </patternFill>
    </fill>
    <fill>
      <patternFill patternType="solid">
        <fgColor theme="8" tint="0.80001220740379042"/>
        <bgColor indexed="64"/>
      </patternFill>
    </fill>
    <fill>
      <patternFill patternType="solid">
        <fgColor theme="9" tint="0.800012207403790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40000610370189521"/>
        <bgColor indexed="64"/>
      </patternFill>
    </fill>
    <fill>
      <patternFill patternType="solid">
        <fgColor theme="5" tint="0.40000610370189521"/>
        <bgColor indexed="64"/>
      </patternFill>
    </fill>
    <fill>
      <patternFill patternType="solid">
        <fgColor theme="6" tint="0.40000610370189521"/>
        <bgColor indexed="64"/>
      </patternFill>
    </fill>
    <fill>
      <patternFill patternType="solid">
        <fgColor theme="7" tint="0.40000610370189521"/>
        <bgColor indexed="64"/>
      </patternFill>
    </fill>
    <fill>
      <patternFill patternType="solid">
        <fgColor theme="8" tint="0.40000610370189521"/>
        <bgColor indexed="64"/>
      </patternFill>
    </fill>
    <fill>
      <patternFill patternType="solid">
        <fgColor theme="9" tint="0.400006103701895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4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5" fillId="14" borderId="0" applyNumberFormat="0" applyBorder="0" applyAlignment="0" applyProtection="0"/>
    <xf numFmtId="0" fontId="15" fillId="15" borderId="0" applyNumberFormat="0" applyBorder="0" applyAlignment="0" applyProtection="0"/>
    <xf numFmtId="0" fontId="15" fillId="16" borderId="0" applyNumberFormat="0" applyBorder="0" applyAlignment="0" applyProtection="0"/>
    <xf numFmtId="0" fontId="15" fillId="17" borderId="0" applyNumberFormat="0" applyBorder="0" applyAlignment="0" applyProtection="0"/>
    <xf numFmtId="0" fontId="15" fillId="18" borderId="0" applyNumberFormat="0" applyBorder="0" applyAlignment="0" applyProtection="0"/>
    <xf numFmtId="0" fontId="15" fillId="19" borderId="0" applyNumberFormat="0" applyBorder="0" applyAlignment="0" applyProtection="0"/>
    <xf numFmtId="0" fontId="15" fillId="20" borderId="0" applyNumberFormat="0" applyBorder="0" applyAlignment="0" applyProtection="0"/>
    <xf numFmtId="0" fontId="15" fillId="21" borderId="0" applyNumberFormat="0" applyBorder="0" applyAlignment="0" applyProtection="0"/>
    <xf numFmtId="0" fontId="15" fillId="22" borderId="0" applyNumberFormat="0" applyBorder="0" applyAlignment="0" applyProtection="0"/>
    <xf numFmtId="0" fontId="15" fillId="23" borderId="0" applyNumberFormat="0" applyBorder="0" applyAlignment="0" applyProtection="0"/>
    <xf numFmtId="0" fontId="15" fillId="24" borderId="0" applyNumberFormat="0" applyBorder="0" applyAlignment="0" applyProtection="0"/>
    <xf numFmtId="0" fontId="15" fillId="25" borderId="0" applyNumberFormat="0" applyBorder="0" applyAlignment="0" applyProtection="0"/>
    <xf numFmtId="0" fontId="6" fillId="26" borderId="0" applyNumberFormat="0" applyBorder="0" applyAlignment="0" applyProtection="0"/>
    <xf numFmtId="0" fontId="9" fillId="27" borderId="4" applyNumberFormat="0" applyAlignment="0" applyProtection="0"/>
    <xf numFmtId="0" fontId="11" fillId="28" borderId="7" applyNumberFormat="0" applyAlignment="0" applyProtection="0"/>
    <xf numFmtId="0" fontId="13" fillId="0" borderId="0" applyNumberFormat="0" applyFill="0" applyBorder="0" applyAlignment="0" applyProtection="0"/>
    <xf numFmtId="0" fontId="5" fillId="29" borderId="0" applyNumberFormat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7" fillId="30" borderId="4" applyNumberFormat="0" applyAlignment="0" applyProtection="0"/>
    <xf numFmtId="0" fontId="10" fillId="0" borderId="6" applyNumberFormat="0" applyFill="0" applyAlignment="0" applyProtection="0"/>
    <xf numFmtId="0" fontId="18" fillId="31" borderId="0" applyNumberFormat="0" applyBorder="0" applyAlignment="0" applyProtection="0"/>
    <xf numFmtId="0" fontId="1" fillId="32" borderId="8" applyNumberFormat="0" applyFont="0" applyAlignment="0" applyProtection="0"/>
    <xf numFmtId="0" fontId="8" fillId="27" borderId="5" applyNumberFormat="0" applyAlignment="0" applyProtection="0"/>
    <xf numFmtId="0" fontId="19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12" fillId="0" borderId="0" applyNumberFormat="0" applyFill="0" applyBorder="0" applyAlignment="0" applyProtection="0"/>
    <xf numFmtId="0" fontId="31" fillId="0" borderId="0"/>
  </cellStyleXfs>
  <cellXfs count="89">
    <xf numFmtId="0" fontId="0" fillId="0" borderId="0" xfId="0"/>
    <xf numFmtId="0" fontId="17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vertical="center" wrapText="1"/>
    </xf>
    <xf numFmtId="164" fontId="20" fillId="0" borderId="0" xfId="0" applyNumberFormat="1" applyFont="1" applyAlignment="1">
      <alignment horizontal="right" vertical="center"/>
    </xf>
    <xf numFmtId="0" fontId="21" fillId="0" borderId="10" xfId="0" applyFont="1" applyBorder="1" applyAlignment="1">
      <alignment horizontal="center" vertical="center" wrapText="1"/>
    </xf>
    <xf numFmtId="0" fontId="22" fillId="0" borderId="10" xfId="0" applyFont="1" applyBorder="1" applyAlignment="1">
      <alignment vertical="center" wrapText="1"/>
    </xf>
    <xf numFmtId="0" fontId="12" fillId="0" borderId="0" xfId="0" applyFont="1"/>
    <xf numFmtId="165" fontId="20" fillId="0" borderId="0" xfId="0" applyNumberFormat="1" applyFont="1" applyAlignment="1">
      <alignment horizontal="right" vertical="center"/>
    </xf>
    <xf numFmtId="0" fontId="17" fillId="33" borderId="10" xfId="0" applyFont="1" applyFill="1" applyBorder="1" applyAlignment="1">
      <alignment horizontal="center" vertical="center" wrapText="1"/>
    </xf>
    <xf numFmtId="0" fontId="16" fillId="33" borderId="10" xfId="0" applyFont="1" applyFill="1" applyBorder="1" applyAlignment="1">
      <alignment vertical="center" wrapText="1"/>
    </xf>
    <xf numFmtId="0" fontId="22" fillId="33" borderId="10" xfId="0" applyFont="1" applyFill="1" applyBorder="1" applyAlignment="1">
      <alignment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17" fillId="11" borderId="12" xfId="0" applyFont="1" applyFill="1" applyBorder="1" applyAlignment="1">
      <alignment horizontal="center" vertical="center" wrapText="1"/>
    </xf>
    <xf numFmtId="164" fontId="20" fillId="34" borderId="12" xfId="0" applyNumberFormat="1" applyFont="1" applyFill="1" applyBorder="1" applyAlignment="1">
      <alignment horizontal="right" vertical="center"/>
    </xf>
    <xf numFmtId="164" fontId="23" fillId="34" borderId="12" xfId="0" applyNumberFormat="1" applyFont="1" applyFill="1" applyBorder="1" applyAlignment="1">
      <alignment horizontal="right" vertical="center"/>
    </xf>
    <xf numFmtId="0" fontId="16" fillId="35" borderId="10" xfId="0" applyFont="1" applyFill="1" applyBorder="1" applyAlignment="1">
      <alignment vertical="center" wrapText="1"/>
    </xf>
    <xf numFmtId="0" fontId="14" fillId="0" borderId="0" xfId="0" applyFont="1" applyAlignment="1">
      <alignment vertical="center"/>
    </xf>
    <xf numFmtId="0" fontId="14" fillId="0" borderId="11" xfId="0" applyFont="1" applyBorder="1" applyAlignment="1">
      <alignment vertical="center"/>
    </xf>
    <xf numFmtId="0" fontId="24" fillId="33" borderId="10" xfId="0" applyFont="1" applyFill="1" applyBorder="1" applyAlignment="1">
      <alignment horizontal="center" vertical="center" wrapText="1"/>
    </xf>
    <xf numFmtId="0" fontId="25" fillId="33" borderId="10" xfId="0" applyFont="1" applyFill="1" applyBorder="1" applyAlignment="1">
      <alignment vertical="center" wrapText="1"/>
    </xf>
    <xf numFmtId="0" fontId="17" fillId="36" borderId="10" xfId="0" applyFont="1" applyFill="1" applyBorder="1" applyAlignment="1">
      <alignment horizontal="center" vertical="center" wrapText="1"/>
    </xf>
    <xf numFmtId="0" fontId="16" fillId="36" borderId="10" xfId="0" applyFont="1" applyFill="1" applyBorder="1" applyAlignment="1">
      <alignment vertical="center" wrapText="1"/>
    </xf>
    <xf numFmtId="0" fontId="25" fillId="36" borderId="10" xfId="0" applyFont="1" applyFill="1" applyBorder="1" applyAlignment="1">
      <alignment vertical="center" wrapText="1"/>
    </xf>
    <xf numFmtId="0" fontId="22" fillId="36" borderId="10" xfId="0" applyFont="1" applyFill="1" applyBorder="1" applyAlignment="1">
      <alignment vertical="center" wrapText="1"/>
    </xf>
    <xf numFmtId="0" fontId="17" fillId="37" borderId="12" xfId="0" applyFont="1" applyFill="1" applyBorder="1" applyAlignment="1">
      <alignment horizontal="center" vertical="center" wrapText="1"/>
    </xf>
    <xf numFmtId="0" fontId="17" fillId="33" borderId="13" xfId="0" applyFont="1" applyFill="1" applyBorder="1" applyAlignment="1">
      <alignment horizontal="center" vertical="center" wrapText="1"/>
    </xf>
    <xf numFmtId="0" fontId="16" fillId="33" borderId="13" xfId="0" applyFont="1" applyFill="1" applyBorder="1" applyAlignment="1">
      <alignment vertical="center" wrapText="1"/>
    </xf>
    <xf numFmtId="0" fontId="25" fillId="33" borderId="13" xfId="0" applyFont="1" applyFill="1" applyBorder="1" applyAlignment="1">
      <alignment vertical="center" wrapText="1"/>
    </xf>
    <xf numFmtId="0" fontId="22" fillId="33" borderId="13" xfId="0" applyFont="1" applyFill="1" applyBorder="1" applyAlignment="1">
      <alignment vertical="center" wrapText="1"/>
    </xf>
    <xf numFmtId="0" fontId="16" fillId="35" borderId="12" xfId="0" applyFont="1" applyFill="1" applyBorder="1" applyAlignment="1">
      <alignment horizontal="center" vertical="center" wrapText="1"/>
    </xf>
    <xf numFmtId="0" fontId="0" fillId="35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26" fillId="11" borderId="12" xfId="0" applyFont="1" applyFill="1" applyBorder="1" applyAlignment="1">
      <alignment horizontal="center" vertical="center"/>
    </xf>
    <xf numFmtId="0" fontId="12" fillId="11" borderId="12" xfId="0" applyFont="1" applyFill="1" applyBorder="1" applyAlignment="1">
      <alignment horizontal="center" vertical="center"/>
    </xf>
    <xf numFmtId="0" fontId="14" fillId="0" borderId="0" xfId="0" applyFont="1"/>
    <xf numFmtId="0" fontId="29" fillId="0" borderId="0" xfId="0" applyFont="1"/>
    <xf numFmtId="164" fontId="0" fillId="0" borderId="0" xfId="0" applyNumberFormat="1"/>
    <xf numFmtId="0" fontId="30" fillId="0" borderId="10" xfId="0" applyFont="1" applyBorder="1" applyAlignment="1">
      <alignment horizontal="right" vertical="center" wrapText="1"/>
    </xf>
    <xf numFmtId="0" fontId="30" fillId="0" borderId="0" xfId="0" applyFont="1"/>
    <xf numFmtId="2" fontId="20" fillId="0" borderId="0" xfId="0" applyNumberFormat="1" applyFont="1" applyAlignment="1">
      <alignment horizontal="right" vertical="center"/>
    </xf>
    <xf numFmtId="166" fontId="20" fillId="0" borderId="0" xfId="0" applyNumberFormat="1" applyFont="1" applyAlignment="1">
      <alignment horizontal="right" vertical="center"/>
    </xf>
    <xf numFmtId="2" fontId="0" fillId="0" borderId="0" xfId="0" applyNumberFormat="1"/>
    <xf numFmtId="0" fontId="0" fillId="38" borderId="0" xfId="0" applyFill="1"/>
    <xf numFmtId="0" fontId="12" fillId="38" borderId="0" xfId="0" applyFont="1" applyFill="1"/>
    <xf numFmtId="2" fontId="14" fillId="0" borderId="0" xfId="0" applyNumberFormat="1" applyFont="1"/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164" fontId="32" fillId="0" borderId="0" xfId="42" applyNumberFormat="1" applyFont="1" applyAlignment="1">
      <alignment horizontal="right" vertical="center"/>
    </xf>
    <xf numFmtId="0" fontId="17" fillId="0" borderId="14" xfId="0" applyFont="1" applyFill="1" applyBorder="1" applyAlignment="1">
      <alignment horizontal="center" vertical="center" wrapText="1"/>
    </xf>
    <xf numFmtId="0" fontId="17" fillId="34" borderId="10" xfId="0" applyFont="1" applyFill="1" applyBorder="1" applyAlignment="1">
      <alignment horizontal="center" vertical="center" wrapText="1"/>
    </xf>
    <xf numFmtId="0" fontId="16" fillId="34" borderId="10" xfId="0" applyFont="1" applyFill="1" applyBorder="1" applyAlignment="1">
      <alignment vertical="center" wrapText="1"/>
    </xf>
    <xf numFmtId="0" fontId="0" fillId="34" borderId="0" xfId="0" applyFill="1"/>
    <xf numFmtId="0" fontId="17" fillId="39" borderId="10" xfId="0" applyFont="1" applyFill="1" applyBorder="1" applyAlignment="1">
      <alignment horizontal="center" vertical="center" wrapText="1"/>
    </xf>
    <xf numFmtId="0" fontId="16" fillId="39" borderId="10" xfId="0" applyFont="1" applyFill="1" applyBorder="1" applyAlignment="1">
      <alignment vertical="center" wrapText="1"/>
    </xf>
    <xf numFmtId="0" fontId="0" fillId="39" borderId="0" xfId="0" applyFill="1"/>
    <xf numFmtId="0" fontId="17" fillId="40" borderId="10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0" fontId="0" fillId="40" borderId="0" xfId="0" applyFill="1"/>
    <xf numFmtId="0" fontId="17" fillId="41" borderId="10" xfId="0" applyFont="1" applyFill="1" applyBorder="1" applyAlignment="1">
      <alignment horizontal="center" vertical="center" wrapText="1"/>
    </xf>
    <xf numFmtId="0" fontId="16" fillId="41" borderId="10" xfId="0" applyFont="1" applyFill="1" applyBorder="1" applyAlignment="1">
      <alignment vertical="center" wrapText="1"/>
    </xf>
    <xf numFmtId="0" fontId="0" fillId="41" borderId="0" xfId="0" applyFill="1"/>
    <xf numFmtId="0" fontId="17" fillId="0" borderId="12" xfId="0" applyFont="1" applyFill="1" applyBorder="1" applyAlignment="1">
      <alignment horizontal="center" vertical="center" wrapText="1"/>
    </xf>
    <xf numFmtId="0" fontId="0" fillId="39" borderId="12" xfId="0" applyFill="1" applyBorder="1"/>
    <xf numFmtId="0" fontId="0" fillId="34" borderId="12" xfId="0" applyFill="1" applyBorder="1"/>
    <xf numFmtId="0" fontId="0" fillId="40" borderId="12" xfId="0" applyFill="1" applyBorder="1"/>
    <xf numFmtId="0" fontId="0" fillId="41" borderId="12" xfId="0" applyFill="1" applyBorder="1"/>
    <xf numFmtId="0" fontId="17" fillId="0" borderId="0" xfId="0" applyFont="1" applyFill="1" applyBorder="1" applyAlignment="1">
      <alignment horizontal="center" vertical="center" wrapText="1"/>
    </xf>
    <xf numFmtId="0" fontId="17" fillId="39" borderId="10" xfId="0" applyFont="1" applyFill="1" applyBorder="1" applyAlignment="1">
      <alignment vertical="center" wrapText="1"/>
    </xf>
    <xf numFmtId="0" fontId="17" fillId="34" borderId="10" xfId="0" applyFont="1" applyFill="1" applyBorder="1" applyAlignment="1">
      <alignment vertical="center" wrapText="1"/>
    </xf>
    <xf numFmtId="0" fontId="17" fillId="40" borderId="10" xfId="0" applyFont="1" applyFill="1" applyBorder="1" applyAlignment="1">
      <alignment vertical="center" wrapText="1"/>
    </xf>
    <xf numFmtId="0" fontId="17" fillId="41" borderId="10" xfId="0" applyFont="1" applyFill="1" applyBorder="1" applyAlignment="1">
      <alignment vertical="center" wrapText="1"/>
    </xf>
    <xf numFmtId="0" fontId="33" fillId="39" borderId="12" xfId="0" applyFont="1" applyFill="1" applyBorder="1"/>
    <xf numFmtId="0" fontId="17" fillId="42" borderId="10" xfId="0" applyFont="1" applyFill="1" applyBorder="1" applyAlignment="1">
      <alignment horizontal="center" vertical="center" wrapText="1"/>
    </xf>
    <xf numFmtId="0" fontId="16" fillId="42" borderId="10" xfId="0" applyFont="1" applyFill="1" applyBorder="1" applyAlignment="1">
      <alignment vertical="center" wrapText="1"/>
    </xf>
    <xf numFmtId="0" fontId="0" fillId="42" borderId="0" xfId="0" applyFill="1"/>
    <xf numFmtId="0" fontId="17" fillId="43" borderId="10" xfId="0" applyFont="1" applyFill="1" applyBorder="1" applyAlignment="1">
      <alignment horizontal="center" vertical="center" wrapText="1"/>
    </xf>
    <xf numFmtId="0" fontId="0" fillId="43" borderId="0" xfId="0" applyFill="1"/>
    <xf numFmtId="0" fontId="16" fillId="43" borderId="10" xfId="0" applyFont="1" applyFill="1" applyBorder="1" applyAlignment="1">
      <alignment vertical="center" wrapText="1"/>
    </xf>
    <xf numFmtId="0" fontId="0" fillId="13" borderId="0" xfId="0" applyFill="1"/>
    <xf numFmtId="0" fontId="0" fillId="13" borderId="12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0" xfId="0" applyAlignment="1">
      <alignment wrapText="1"/>
    </xf>
    <xf numFmtId="0" fontId="17" fillId="13" borderId="10" xfId="0" applyFont="1" applyFill="1" applyBorder="1" applyAlignment="1">
      <alignment horizontal="center" vertical="center" wrapText="1"/>
    </xf>
    <xf numFmtId="0" fontId="16" fillId="13" borderId="10" xfId="0" applyFont="1" applyFill="1" applyBorder="1" applyAlignment="1">
      <alignment vertical="center" wrapText="1"/>
    </xf>
    <xf numFmtId="0" fontId="14" fillId="13" borderId="0" xfId="0" applyFont="1" applyFill="1" applyAlignment="1">
      <alignment wrapText="1"/>
    </xf>
  </cellXfs>
  <cellStyles count="43">
    <cellStyle name="20% - Accent1" xfId="1" xr:uid="{2B4D6E16-7AD7-490B-BC38-36B47E0C0F51}"/>
    <cellStyle name="20% - Accent2" xfId="2" xr:uid="{80007C64-9F8B-4071-9130-0FD097430EF2}"/>
    <cellStyle name="20% - Accent3" xfId="3" xr:uid="{720A5540-82FF-4F26-ADC2-536E1694B19E}"/>
    <cellStyle name="20% - Accent4" xfId="4" xr:uid="{274A6D7B-A125-4DAA-AC1E-ABBEF75451D1}"/>
    <cellStyle name="20% - Accent5" xfId="5" xr:uid="{9AFB13AF-D410-449F-9371-2D356193F6FC}"/>
    <cellStyle name="20% - Accent6" xfId="6" xr:uid="{3DF6969E-FAF8-4133-93CB-07CDBF0A0062}"/>
    <cellStyle name="40% - Accent1" xfId="7" xr:uid="{326BC285-2BD4-4D41-9CBD-0C6E8F9D31A3}"/>
    <cellStyle name="40% - Accent2" xfId="8" xr:uid="{1B2241EB-8F96-443E-A16D-C3248B49BF87}"/>
    <cellStyle name="40% - Accent3" xfId="9" xr:uid="{5F57F8A4-D876-41A8-9091-2CF4024AAB68}"/>
    <cellStyle name="40% - Accent4" xfId="10" xr:uid="{723F3590-38F3-4629-9046-BFE7D64A00F7}"/>
    <cellStyle name="40% - Accent5" xfId="11" xr:uid="{C37E7C86-2C45-4092-8D68-18EBA4E38E8D}"/>
    <cellStyle name="40% - Accent6" xfId="12" xr:uid="{848EAC00-8B00-4E7C-9E48-93E80BF0F76E}"/>
    <cellStyle name="60% - Accent1" xfId="13" xr:uid="{EBC36323-E75D-4BFB-9437-2D67F764DF27}"/>
    <cellStyle name="60% - Accent2" xfId="14" xr:uid="{71A066C5-AA4E-482A-B9E8-54464C452C3D}"/>
    <cellStyle name="60% - Accent3" xfId="15" xr:uid="{617987C2-9704-4C30-BCD8-5B4D7C3355A3}"/>
    <cellStyle name="60% - Accent4" xfId="16" xr:uid="{B8C8D7B0-4C9B-4EC1-9EBE-E3C9AACF5F74}"/>
    <cellStyle name="60% - Accent5" xfId="17" xr:uid="{D9A78EAD-DCBD-4D43-B01D-A2BD009D70AD}"/>
    <cellStyle name="60% - Accent6" xfId="18" xr:uid="{3AB6140B-E44F-4E31-8A12-02C6C27E3168}"/>
    <cellStyle name="Accent1" xfId="19" xr:uid="{60FC835C-9333-4D95-B686-5C00CF84491A}"/>
    <cellStyle name="Accent2" xfId="20" xr:uid="{C62B317A-3197-46BC-81AE-9DBE95FCADD7}"/>
    <cellStyle name="Accent3" xfId="21" xr:uid="{997002B0-ACD0-45E4-8B68-0BBE2763FED3}"/>
    <cellStyle name="Accent4" xfId="22" xr:uid="{2D0C1793-DAF1-43C6-9D6F-9CAC8013D2D5}"/>
    <cellStyle name="Accent5" xfId="23" xr:uid="{84AA0D65-7201-4373-B8D9-099BA6D6CC56}"/>
    <cellStyle name="Accent6" xfId="24" xr:uid="{7AA1D174-8CFC-4B1E-AD7A-855869AC56FA}"/>
    <cellStyle name="Bad" xfId="25" xr:uid="{3780973C-6F85-47D3-9AF2-703168156369}"/>
    <cellStyle name="Calculation" xfId="26" xr:uid="{30D93ED2-6442-4C67-9DAC-5D715D93B36E}"/>
    <cellStyle name="Check Cell" xfId="27" xr:uid="{5B3E4104-72AA-4FA7-8D9E-5E31561E1C39}"/>
    <cellStyle name="Explanatory Text" xfId="28" xr:uid="{4C9641E6-253B-48C2-AD62-ECEA130A68B9}"/>
    <cellStyle name="Good" xfId="29" xr:uid="{DE8E6816-C5AB-4A79-96DA-EF6D69D35B21}"/>
    <cellStyle name="Heading 1" xfId="30" xr:uid="{0D36B498-9660-43B2-A2B8-E1A18C4B24E1}"/>
    <cellStyle name="Heading 2" xfId="31" xr:uid="{9759E100-A062-4353-AC60-8C9FD7E75B49}"/>
    <cellStyle name="Heading 3" xfId="32" xr:uid="{EFE763F3-BF3E-4703-9CFC-629CCC1D7947}"/>
    <cellStyle name="Heading 4" xfId="33" xr:uid="{24820D13-C8C3-4E4A-A33B-BA4473B0B3B1}"/>
    <cellStyle name="Input" xfId="34" xr:uid="{AC244531-0CF4-4AFB-AF57-3924DB0ADEFE}"/>
    <cellStyle name="Linked Cell" xfId="35" xr:uid="{3C5A8035-9838-46CE-99DD-DDF9B3C90C2F}"/>
    <cellStyle name="Neutral" xfId="36" xr:uid="{46DC36B1-64F1-4154-9460-2D4F137132DA}"/>
    <cellStyle name="Note" xfId="37" xr:uid="{A8014B7F-01C7-4DB6-A846-EC49E2A8F3CD}"/>
    <cellStyle name="Output" xfId="38" xr:uid="{95481E4B-24E9-4B96-859E-1495D78CA9B2}"/>
    <cellStyle name="Title" xfId="39" xr:uid="{B7D2695F-7758-4F18-A724-D3F196EE4233}"/>
    <cellStyle name="Total" xfId="40" xr:uid="{1CCFEF37-7EAD-4CEC-AA8B-EF082C75FD96}"/>
    <cellStyle name="Warning Text" xfId="41" xr:uid="{D7304849-67F1-4F30-A2FC-1DD101E0EF45}"/>
    <cellStyle name="Обычный" xfId="0" builtinId="0"/>
    <cellStyle name="Обычный_Лист5" xfId="42" xr:uid="{CD747474-2F63-4F01-AB05-75E73DCFC58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 Сравнение объемников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5375973058745873"/>
          <c:y val="0.18236766432827384"/>
          <c:w val="0.7903277539241591"/>
          <c:h val="0.59930613736637284"/>
        </c:manualLayout>
      </c:layout>
      <c:scatterChart>
        <c:scatterStyle val="smoothMarker"/>
        <c:varyColors val="0"/>
        <c:ser>
          <c:idx val="0"/>
          <c:order val="0"/>
          <c:tx>
            <c:v>PVTSim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Лист1!$AB$2:$AB$11</c:f>
              <c:numCache>
                <c:formatCode>0.000</c:formatCode>
                <c:ptCount val="10"/>
                <c:pt idx="0">
                  <c:v>9.8750979999999995</c:v>
                </c:pt>
                <c:pt idx="1">
                  <c:v>8.7889759999999999</c:v>
                </c:pt>
                <c:pt idx="2">
                  <c:v>7.7028540000000003</c:v>
                </c:pt>
                <c:pt idx="3">
                  <c:v>6.6167320000000007</c:v>
                </c:pt>
                <c:pt idx="4">
                  <c:v>5.5306100000000002</c:v>
                </c:pt>
                <c:pt idx="5">
                  <c:v>4.4444879999999998</c:v>
                </c:pt>
                <c:pt idx="6">
                  <c:v>3.3583660000000006</c:v>
                </c:pt>
                <c:pt idx="7">
                  <c:v>2.2722440000000002</c:v>
                </c:pt>
                <c:pt idx="8">
                  <c:v>1.1861219999999999</c:v>
                </c:pt>
                <c:pt idx="9">
                  <c:v>0.1</c:v>
                </c:pt>
              </c:numCache>
            </c:numRef>
          </c:xVal>
          <c:yVal>
            <c:numRef>
              <c:f>Лист1!$AC$2:$AC$11</c:f>
              <c:numCache>
                <c:formatCode>0.000</c:formatCode>
                <c:ptCount val="10"/>
                <c:pt idx="0">
                  <c:v>1.4192364316747383</c:v>
                </c:pt>
                <c:pt idx="1">
                  <c:v>1.3883787135709178</c:v>
                </c:pt>
                <c:pt idx="2">
                  <c:v>1.3584827775156243</c:v>
                </c:pt>
                <c:pt idx="3">
                  <c:v>1.329342532559977</c:v>
                </c:pt>
                <c:pt idx="4">
                  <c:v>1.3006809702582669</c:v>
                </c:pt>
                <c:pt idx="5">
                  <c:v>1.2720575760063662</c:v>
                </c:pt>
                <c:pt idx="6">
                  <c:v>1.2426174335640801</c:v>
                </c:pt>
                <c:pt idx="7">
                  <c:v>1.2101730958457293</c:v>
                </c:pt>
                <c:pt idx="8">
                  <c:v>1.165673704984908</c:v>
                </c:pt>
                <c:pt idx="9">
                  <c:v>1.0154634897187065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A5-499D-B38E-DD564E6F1298}"/>
            </c:ext>
          </c:extLst>
        </c:ser>
        <c:ser>
          <c:idx val="1"/>
          <c:order val="1"/>
          <c:tx>
            <c:v>Во через УРС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Лист1!$C$2:$C$11</c:f>
              <c:numCache>
                <c:formatCode>General</c:formatCode>
                <c:ptCount val="10"/>
                <c:pt idx="0">
                  <c:v>9.8750979999999995</c:v>
                </c:pt>
                <c:pt idx="1">
                  <c:v>8.7889759999999999</c:v>
                </c:pt>
                <c:pt idx="2">
                  <c:v>7.7028540000000003</c:v>
                </c:pt>
                <c:pt idx="3">
                  <c:v>6.6167319999999998</c:v>
                </c:pt>
                <c:pt idx="4">
                  <c:v>5.5306100000000002</c:v>
                </c:pt>
                <c:pt idx="5">
                  <c:v>4.4444879999999998</c:v>
                </c:pt>
                <c:pt idx="6">
                  <c:v>3.3583660000000002</c:v>
                </c:pt>
                <c:pt idx="7">
                  <c:v>2.2722440000000002</c:v>
                </c:pt>
                <c:pt idx="8">
                  <c:v>1.1861219999999999</c:v>
                </c:pt>
                <c:pt idx="9">
                  <c:v>0.1</c:v>
                </c:pt>
              </c:numCache>
            </c:numRef>
          </c:xVal>
          <c:yVal>
            <c:numRef>
              <c:f>Лист1!$Q$2:$Q$11</c:f>
              <c:numCache>
                <c:formatCode>General</c:formatCode>
                <c:ptCount val="10"/>
                <c:pt idx="0">
                  <c:v>1.036493767781421</c:v>
                </c:pt>
                <c:pt idx="1">
                  <c:v>1.0146293043145365</c:v>
                </c:pt>
                <c:pt idx="2">
                  <c:v>0.99400970797135713</c:v>
                </c:pt>
                <c:pt idx="3">
                  <c:v>0.97423764728037343</c:v>
                </c:pt>
                <c:pt idx="4">
                  <c:v>0.95526259254374846</c:v>
                </c:pt>
                <c:pt idx="5">
                  <c:v>0.93709723908716025</c:v>
                </c:pt>
                <c:pt idx="6">
                  <c:v>0.91994115899280304</c:v>
                </c:pt>
                <c:pt idx="7">
                  <c:v>0.9048250097507744</c:v>
                </c:pt>
                <c:pt idx="8">
                  <c:v>0.89882112543809156</c:v>
                </c:pt>
                <c:pt idx="9">
                  <c:v>1.0114472103141685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FA5-499D-B38E-DD564E6F1298}"/>
            </c:ext>
          </c:extLst>
        </c:ser>
        <c:ser>
          <c:idx val="2"/>
          <c:order val="2"/>
          <c:tx>
            <c:v>Прямое перемножение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Лист1!$C$2:$C$11</c:f>
              <c:numCache>
                <c:formatCode>General</c:formatCode>
                <c:ptCount val="10"/>
                <c:pt idx="0">
                  <c:v>9.8750979999999995</c:v>
                </c:pt>
                <c:pt idx="1">
                  <c:v>8.7889759999999999</c:v>
                </c:pt>
                <c:pt idx="2">
                  <c:v>7.7028540000000003</c:v>
                </c:pt>
                <c:pt idx="3">
                  <c:v>6.6167319999999998</c:v>
                </c:pt>
                <c:pt idx="4">
                  <c:v>5.5306100000000002</c:v>
                </c:pt>
                <c:pt idx="5">
                  <c:v>4.4444879999999998</c:v>
                </c:pt>
                <c:pt idx="6">
                  <c:v>3.3583660000000002</c:v>
                </c:pt>
                <c:pt idx="7">
                  <c:v>2.2722440000000002</c:v>
                </c:pt>
                <c:pt idx="8">
                  <c:v>1.1861219999999999</c:v>
                </c:pt>
                <c:pt idx="9">
                  <c:v>0.1</c:v>
                </c:pt>
              </c:numCache>
            </c:numRef>
          </c:xVal>
          <c:yVal>
            <c:numRef>
              <c:f>Лист1!$O$2:$O$11</c:f>
              <c:numCache>
                <c:formatCode>General</c:formatCode>
                <c:ptCount val="10"/>
                <c:pt idx="0">
                  <c:v>1.7787065595958345</c:v>
                </c:pt>
                <c:pt idx="1">
                  <c:v>1.7411853840717069</c:v>
                </c:pt>
                <c:pt idx="2">
                  <c:v>1.6486187454983028</c:v>
                </c:pt>
                <c:pt idx="3">
                  <c:v>1.5590624780053439</c:v>
                </c:pt>
                <c:pt idx="4">
                  <c:v>1.4720449648579537</c:v>
                </c:pt>
                <c:pt idx="5">
                  <c:v>1.3869445733945505</c:v>
                </c:pt>
                <c:pt idx="6">
                  <c:v>1.3027930983484095</c:v>
                </c:pt>
                <c:pt idx="7">
                  <c:v>1.2177285257848485</c:v>
                </c:pt>
                <c:pt idx="8">
                  <c:v>1.1270272342702896</c:v>
                </c:pt>
                <c:pt idx="9">
                  <c:v>1.0114472103141687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FA5-499D-B38E-DD564E6F12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2410623"/>
        <c:axId val="1082421439"/>
      </c:scatterChart>
      <c:valAx>
        <c:axId val="1082410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Давление, МПа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82421439"/>
        <c:crosses val="autoZero"/>
        <c:crossBetween val="midCat"/>
      </c:valAx>
      <c:valAx>
        <c:axId val="1082421439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Во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8241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573045824407269"/>
          <c:y val="0.10760934839464699"/>
          <c:w val="0.48220222614986186"/>
          <c:h val="0.205716717483389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Сравнение</a:t>
            </a:r>
            <a:r>
              <a:rPr lang="ru-RU" baseline="0"/>
              <a:t> объемных коэффициентов</a:t>
            </a:r>
            <a:r>
              <a:rPr lang="en-US" baseline="0"/>
              <a:t> DLE</a:t>
            </a:r>
            <a:r>
              <a:rPr lang="ru-RU" baseline="0"/>
              <a:t> по ступеням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PVTSim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Лист8!$C$74:$C$81</c:f>
              <c:numCache>
                <c:formatCode>General</c:formatCode>
                <c:ptCount val="8"/>
                <c:pt idx="0">
                  <c:v>22</c:v>
                </c:pt>
                <c:pt idx="1">
                  <c:v>9.8881549999999994</c:v>
                </c:pt>
                <c:pt idx="2">
                  <c:v>7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  <c:pt idx="6">
                  <c:v>0.1</c:v>
                </c:pt>
                <c:pt idx="7">
                  <c:v>0.101325</c:v>
                </c:pt>
              </c:numCache>
            </c:numRef>
          </c:cat>
          <c:val>
            <c:numRef>
              <c:f>Лист8!$N$74:$N$81</c:f>
              <c:numCache>
                <c:formatCode>0.000</c:formatCode>
                <c:ptCount val="8"/>
                <c:pt idx="0">
                  <c:v>1.3832686692228231</c:v>
                </c:pt>
                <c:pt idx="1">
                  <c:v>1.413987981097149</c:v>
                </c:pt>
                <c:pt idx="2">
                  <c:v>1.3331825433694773</c:v>
                </c:pt>
                <c:pt idx="3">
                  <c:v>1.2798684162215015</c:v>
                </c:pt>
                <c:pt idx="4">
                  <c:v>1.2241036186217964</c:v>
                </c:pt>
                <c:pt idx="5">
                  <c:v>1.1405330377542098</c:v>
                </c:pt>
                <c:pt idx="6">
                  <c:v>1.0155469533970198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F0-4EA5-94CF-124A07BB3CD6}"/>
            </c:ext>
          </c:extLst>
        </c:ser>
        <c:ser>
          <c:idx val="1"/>
          <c:order val="1"/>
          <c:tx>
            <c:v>Python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Лист8!$C$74:$C$81</c:f>
              <c:numCache>
                <c:formatCode>General</c:formatCode>
                <c:ptCount val="8"/>
                <c:pt idx="0">
                  <c:v>22</c:v>
                </c:pt>
                <c:pt idx="1">
                  <c:v>9.8881549999999994</c:v>
                </c:pt>
                <c:pt idx="2">
                  <c:v>7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  <c:pt idx="6">
                  <c:v>0.1</c:v>
                </c:pt>
                <c:pt idx="7">
                  <c:v>0.101325</c:v>
                </c:pt>
              </c:numCache>
            </c:numRef>
          </c:cat>
          <c:val>
            <c:numRef>
              <c:f>Лист8!$O$74:$O$81</c:f>
              <c:numCache>
                <c:formatCode>0.000</c:formatCode>
                <c:ptCount val="8"/>
                <c:pt idx="0">
                  <c:v>1.3826135243127053</c:v>
                </c:pt>
                <c:pt idx="1">
                  <c:v>1.413333842879839</c:v>
                </c:pt>
                <c:pt idx="2">
                  <c:v>1.3325378318010093</c:v>
                </c:pt>
                <c:pt idx="3">
                  <c:v>1.2792780383329667</c:v>
                </c:pt>
                <c:pt idx="4">
                  <c:v>1.2235628636249596</c:v>
                </c:pt>
                <c:pt idx="5">
                  <c:v>1.1400435398560242</c:v>
                </c:pt>
                <c:pt idx="6">
                  <c:v>1.0151241510746365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F0-4EA5-94CF-124A07BB3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1874848"/>
        <c:axId val="1861876928"/>
      </c:barChart>
      <c:catAx>
        <c:axId val="186187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1876928"/>
        <c:crosses val="autoZero"/>
        <c:auto val="1"/>
        <c:lblAlgn val="ctr"/>
        <c:lblOffset val="100"/>
        <c:noMultiLvlLbl val="0"/>
      </c:catAx>
      <c:valAx>
        <c:axId val="186187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1874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5712270341207349"/>
          <c:y val="0.17171296296296296"/>
          <c:w val="0.81354396325459322"/>
          <c:h val="0.622716170895304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Лист8!$N$73</c:f>
              <c:strCache>
                <c:ptCount val="1"/>
                <c:pt idx="0">
                  <c:v>PVTSIM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Лист8!$C$74:$C$81</c:f>
              <c:numCache>
                <c:formatCode>General</c:formatCode>
                <c:ptCount val="8"/>
                <c:pt idx="0">
                  <c:v>22</c:v>
                </c:pt>
                <c:pt idx="1">
                  <c:v>9.8881549999999994</c:v>
                </c:pt>
                <c:pt idx="2">
                  <c:v>7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  <c:pt idx="6">
                  <c:v>0.1</c:v>
                </c:pt>
                <c:pt idx="7">
                  <c:v>0.101325</c:v>
                </c:pt>
              </c:numCache>
            </c:numRef>
          </c:xVal>
          <c:yVal>
            <c:numRef>
              <c:f>Лист8!$N$74:$N$81</c:f>
              <c:numCache>
                <c:formatCode>0.000</c:formatCode>
                <c:ptCount val="8"/>
                <c:pt idx="0">
                  <c:v>1.3832686692228231</c:v>
                </c:pt>
                <c:pt idx="1">
                  <c:v>1.413987981097149</c:v>
                </c:pt>
                <c:pt idx="2">
                  <c:v>1.3331825433694773</c:v>
                </c:pt>
                <c:pt idx="3">
                  <c:v>1.2798684162215015</c:v>
                </c:pt>
                <c:pt idx="4">
                  <c:v>1.2241036186217964</c:v>
                </c:pt>
                <c:pt idx="5">
                  <c:v>1.1405330377542098</c:v>
                </c:pt>
                <c:pt idx="6">
                  <c:v>1.0155469533970198</c:v>
                </c:pt>
                <c:pt idx="7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B83-41F6-8E8B-85C2C3E8D834}"/>
            </c:ext>
          </c:extLst>
        </c:ser>
        <c:ser>
          <c:idx val="1"/>
          <c:order val="1"/>
          <c:tx>
            <c:strRef>
              <c:f>Лист8!$O$73</c:f>
              <c:strCache>
                <c:ptCount val="1"/>
                <c:pt idx="0">
                  <c:v>python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Лист8!$C$74:$C$81</c:f>
              <c:numCache>
                <c:formatCode>General</c:formatCode>
                <c:ptCount val="8"/>
                <c:pt idx="0">
                  <c:v>22</c:v>
                </c:pt>
                <c:pt idx="1">
                  <c:v>9.8881549999999994</c:v>
                </c:pt>
                <c:pt idx="2">
                  <c:v>7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  <c:pt idx="6">
                  <c:v>0.1</c:v>
                </c:pt>
                <c:pt idx="7">
                  <c:v>0.101325</c:v>
                </c:pt>
              </c:numCache>
            </c:numRef>
          </c:xVal>
          <c:yVal>
            <c:numRef>
              <c:f>Лист8!$O$74:$O$81</c:f>
              <c:numCache>
                <c:formatCode>0.000</c:formatCode>
                <c:ptCount val="8"/>
                <c:pt idx="0">
                  <c:v>1.3826135243127053</c:v>
                </c:pt>
                <c:pt idx="1">
                  <c:v>1.413333842879839</c:v>
                </c:pt>
                <c:pt idx="2">
                  <c:v>1.3325378318010093</c:v>
                </c:pt>
                <c:pt idx="3">
                  <c:v>1.2792780383329667</c:v>
                </c:pt>
                <c:pt idx="4">
                  <c:v>1.2235628636249596</c:v>
                </c:pt>
                <c:pt idx="5">
                  <c:v>1.1400435398560242</c:v>
                </c:pt>
                <c:pt idx="6">
                  <c:v>1.0151241510746365</c:v>
                </c:pt>
                <c:pt idx="7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B83-41F6-8E8B-85C2C3E8D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5685904"/>
        <c:axId val="2035688816"/>
      </c:scatterChart>
      <c:valAx>
        <c:axId val="20356859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Давление,</a:t>
                </a:r>
                <a:r>
                  <a:rPr lang="ru-RU" baseline="0"/>
                  <a:t> МПа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5688816"/>
        <c:crosses val="autoZero"/>
        <c:crossBetween val="midCat"/>
      </c:valAx>
      <c:valAx>
        <c:axId val="2035688816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Во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568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4099956255468062"/>
          <c:y val="0.42671223388743074"/>
          <c:w val="0.16260300223640958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5712270341207349"/>
          <c:y val="0.17171296296296296"/>
          <c:w val="0.81354396325459322"/>
          <c:h val="0.62271617089530473"/>
        </c:manualLayout>
      </c:layout>
      <c:scatterChart>
        <c:scatterStyle val="lineMarker"/>
        <c:varyColors val="0"/>
        <c:ser>
          <c:idx val="0"/>
          <c:order val="0"/>
          <c:tx>
            <c:strRef>
              <c:f>Лист8!$N$73</c:f>
              <c:strCache>
                <c:ptCount val="1"/>
                <c:pt idx="0">
                  <c:v>PVTSIM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Лист8!$E$111:$E$119</c:f>
              <c:numCache>
                <c:formatCode>General</c:formatCode>
                <c:ptCount val="9"/>
                <c:pt idx="0">
                  <c:v>22</c:v>
                </c:pt>
                <c:pt idx="1">
                  <c:v>11.925895000000001</c:v>
                </c:pt>
                <c:pt idx="2">
                  <c:v>9</c:v>
                </c:pt>
                <c:pt idx="3">
                  <c:v>7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  <c:pt idx="7">
                  <c:v>0.1</c:v>
                </c:pt>
                <c:pt idx="8">
                  <c:v>0.101325</c:v>
                </c:pt>
              </c:numCache>
            </c:numRef>
          </c:xVal>
          <c:yVal>
            <c:numRef>
              <c:f>Лист8!$S$111:$S$119</c:f>
              <c:numCache>
                <c:formatCode>0.000</c:formatCode>
                <c:ptCount val="9"/>
                <c:pt idx="0">
                  <c:v>1.481970526627042</c:v>
                </c:pt>
                <c:pt idx="1">
                  <c:v>1.518024389642205</c:v>
                </c:pt>
                <c:pt idx="2">
                  <c:v>1.4290089109136341</c:v>
                </c:pt>
                <c:pt idx="3">
                  <c:v>1.3727058522049609</c:v>
                </c:pt>
                <c:pt idx="4">
                  <c:v>1.3173941419444417</c:v>
                </c:pt>
                <c:pt idx="5">
                  <c:v>1.2578688260928816</c:v>
                </c:pt>
                <c:pt idx="6">
                  <c:v>1.1651666011117547</c:v>
                </c:pt>
                <c:pt idx="7">
                  <c:v>1.0316807766207028</c:v>
                </c:pt>
                <c:pt idx="8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E4-4700-A967-6990CD5225A0}"/>
            </c:ext>
          </c:extLst>
        </c:ser>
        <c:ser>
          <c:idx val="1"/>
          <c:order val="1"/>
          <c:tx>
            <c:strRef>
              <c:f>Лист8!$O$73</c:f>
              <c:strCache>
                <c:ptCount val="1"/>
                <c:pt idx="0">
                  <c:v>python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Лист8!$E$111:$E$119</c:f>
              <c:numCache>
                <c:formatCode>General</c:formatCode>
                <c:ptCount val="9"/>
                <c:pt idx="0">
                  <c:v>22</c:v>
                </c:pt>
                <c:pt idx="1">
                  <c:v>11.925895000000001</c:v>
                </c:pt>
                <c:pt idx="2">
                  <c:v>9</c:v>
                </c:pt>
                <c:pt idx="3">
                  <c:v>7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  <c:pt idx="7">
                  <c:v>0.1</c:v>
                </c:pt>
                <c:pt idx="8">
                  <c:v>0.101325</c:v>
                </c:pt>
              </c:numCache>
            </c:numRef>
          </c:xVal>
          <c:yVal>
            <c:numRef>
              <c:f>Лист8!$R$111:$R$119</c:f>
              <c:numCache>
                <c:formatCode>General</c:formatCode>
                <c:ptCount val="9"/>
                <c:pt idx="0">
                  <c:v>1.4812661083844905</c:v>
                </c:pt>
                <c:pt idx="1">
                  <c:v>1.5173044802500568</c:v>
                </c:pt>
                <c:pt idx="2">
                  <c:v>1.4282923800044591</c:v>
                </c:pt>
                <c:pt idx="3">
                  <c:v>1.3720466407842271</c:v>
                </c:pt>
                <c:pt idx="4">
                  <c:v>1.3167860461475129</c:v>
                </c:pt>
                <c:pt idx="5">
                  <c:v>1.25730752069434</c:v>
                </c:pt>
                <c:pt idx="6">
                  <c:v>1.1646580075085398</c:v>
                </c:pt>
                <c:pt idx="7">
                  <c:v>1.0312725519885548</c:v>
                </c:pt>
                <c:pt idx="8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AE4-4700-A967-6990CD522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5685904"/>
        <c:axId val="2035688816"/>
      </c:scatterChart>
      <c:valAx>
        <c:axId val="20356859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Давление,</a:t>
                </a:r>
                <a:r>
                  <a:rPr lang="ru-RU" baseline="0"/>
                  <a:t> МПа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5688816"/>
        <c:crosses val="autoZero"/>
        <c:crossBetween val="midCat"/>
      </c:valAx>
      <c:valAx>
        <c:axId val="2035688816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Во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568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4099956255468062"/>
          <c:y val="0.42671223388743074"/>
          <c:w val="0.16373240371963541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15712270341207349"/>
          <c:y val="0.17171296296296296"/>
          <c:w val="0.81354396325459322"/>
          <c:h val="0.62271617089530473"/>
        </c:manualLayout>
      </c:layout>
      <c:scatterChart>
        <c:scatterStyle val="lineMarker"/>
        <c:varyColors val="0"/>
        <c:ser>
          <c:idx val="0"/>
          <c:order val="0"/>
          <c:tx>
            <c:strRef>
              <c:f>Лист8!$N$73</c:f>
              <c:strCache>
                <c:ptCount val="1"/>
                <c:pt idx="0">
                  <c:v>PVTSIM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Лист8!$E$111:$E$118</c:f>
              <c:numCache>
                <c:formatCode>General</c:formatCode>
                <c:ptCount val="8"/>
                <c:pt idx="0">
                  <c:v>22</c:v>
                </c:pt>
                <c:pt idx="1">
                  <c:v>11.925895000000001</c:v>
                </c:pt>
                <c:pt idx="2">
                  <c:v>9</c:v>
                </c:pt>
                <c:pt idx="3">
                  <c:v>7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  <c:pt idx="7">
                  <c:v>0.1</c:v>
                </c:pt>
              </c:numCache>
            </c:numRef>
          </c:xVal>
          <c:yVal>
            <c:numRef>
              <c:f>Лист8!$AA$111:$AA$118</c:f>
              <c:numCache>
                <c:formatCode>0.0</c:formatCode>
                <c:ptCount val="8"/>
                <c:pt idx="0">
                  <c:v>158.34722792647955</c:v>
                </c:pt>
                <c:pt idx="1">
                  <c:v>158.34722792647955</c:v>
                </c:pt>
                <c:pt idx="2">
                  <c:v>124.46392287198356</c:v>
                </c:pt>
                <c:pt idx="3">
                  <c:v>103.16151260223597</c:v>
                </c:pt>
                <c:pt idx="4">
                  <c:v>82.583203517674491</c:v>
                </c:pt>
                <c:pt idx="5">
                  <c:v>61.315317169282636</c:v>
                </c:pt>
                <c:pt idx="6">
                  <c:v>31.98724980620748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47-47B0-9A38-92815F937FAE}"/>
            </c:ext>
          </c:extLst>
        </c:ser>
        <c:ser>
          <c:idx val="1"/>
          <c:order val="1"/>
          <c:tx>
            <c:strRef>
              <c:f>Лист8!$O$73</c:f>
              <c:strCache>
                <c:ptCount val="1"/>
                <c:pt idx="0">
                  <c:v>python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Лист8!$E$111:$E$118</c:f>
              <c:numCache>
                <c:formatCode>General</c:formatCode>
                <c:ptCount val="8"/>
                <c:pt idx="0">
                  <c:v>22</c:v>
                </c:pt>
                <c:pt idx="1">
                  <c:v>11.925895000000001</c:v>
                </c:pt>
                <c:pt idx="2">
                  <c:v>9</c:v>
                </c:pt>
                <c:pt idx="3">
                  <c:v>7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  <c:pt idx="7">
                  <c:v>0.1</c:v>
                </c:pt>
              </c:numCache>
            </c:numRef>
          </c:xVal>
          <c:yVal>
            <c:numRef>
              <c:f>Лист8!$Z$111:$Z$118</c:f>
              <c:numCache>
                <c:formatCode>General</c:formatCode>
                <c:ptCount val="8"/>
                <c:pt idx="0">
                  <c:v>157.27611084701797</c:v>
                </c:pt>
                <c:pt idx="1">
                  <c:v>157.27611084701797</c:v>
                </c:pt>
                <c:pt idx="2">
                  <c:v>123.79002212338932</c:v>
                </c:pt>
                <c:pt idx="3">
                  <c:v>102.75448730088542</c:v>
                </c:pt>
                <c:pt idx="4">
                  <c:v>82.42327866321169</c:v>
                </c:pt>
                <c:pt idx="5">
                  <c:v>61.385329144547754</c:v>
                </c:pt>
                <c:pt idx="6">
                  <c:v>32.251125281288694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47-47B0-9A38-92815F937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5685904"/>
        <c:axId val="2035688816"/>
      </c:scatterChart>
      <c:valAx>
        <c:axId val="20356859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Давление,</a:t>
                </a:r>
                <a:r>
                  <a:rPr lang="ru-RU" baseline="0"/>
                  <a:t> МПа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5688816"/>
        <c:crosses val="autoZero"/>
        <c:crossBetween val="midCat"/>
      </c:valAx>
      <c:valAx>
        <c:axId val="2035688816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Во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5685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4099956255468062"/>
          <c:y val="0.42671223388743074"/>
          <c:w val="0.16373240371963541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python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Лист5!$H$6:$H$9</c:f>
              <c:numCache>
                <c:formatCode>General</c:formatCode>
                <c:ptCount val="4"/>
                <c:pt idx="0">
                  <c:v>9.8750979999999995</c:v>
                </c:pt>
                <c:pt idx="1">
                  <c:v>4.9875489999999996</c:v>
                </c:pt>
                <c:pt idx="2">
                  <c:v>0.1</c:v>
                </c:pt>
                <c:pt idx="3">
                  <c:v>0.101325</c:v>
                </c:pt>
              </c:numCache>
            </c:numRef>
          </c:xVal>
          <c:yVal>
            <c:numRef>
              <c:f>Лист5!$R$6:$R$9</c:f>
              <c:numCache>
                <c:formatCode>General</c:formatCode>
                <c:ptCount val="4"/>
                <c:pt idx="0">
                  <c:v>1.4502535831778194</c:v>
                </c:pt>
                <c:pt idx="1">
                  <c:v>1.3082838702217443</c:v>
                </c:pt>
                <c:pt idx="2">
                  <c:v>1.011020540309749</c:v>
                </c:pt>
                <c:pt idx="3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C1-41B5-8874-F2580BB85102}"/>
            </c:ext>
          </c:extLst>
        </c:ser>
        <c:ser>
          <c:idx val="1"/>
          <c:order val="1"/>
          <c:tx>
            <c:v>PVTSim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Лист5!$W$6:$W$9</c:f>
              <c:numCache>
                <c:formatCode>0.000</c:formatCode>
                <c:ptCount val="4"/>
                <c:pt idx="0">
                  <c:v>9.8750976000000001</c:v>
                </c:pt>
                <c:pt idx="1">
                  <c:v>4.9875487999999999</c:v>
                </c:pt>
                <c:pt idx="2">
                  <c:v>0.1</c:v>
                </c:pt>
                <c:pt idx="3">
                  <c:v>0.101325</c:v>
                </c:pt>
              </c:numCache>
            </c:numRef>
          </c:xVal>
          <c:yVal>
            <c:numRef>
              <c:f>Лист5!$X$6:$X$9</c:f>
              <c:numCache>
                <c:formatCode>0.000</c:formatCode>
                <c:ptCount val="4"/>
                <c:pt idx="0">
                  <c:v>1.4568706675543304</c:v>
                </c:pt>
                <c:pt idx="1">
                  <c:v>1.3141797372046775</c:v>
                </c:pt>
                <c:pt idx="2">
                  <c:v>1.0148685827876882</c:v>
                </c:pt>
                <c:pt idx="3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1C1-41B5-8874-F2580BB85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1874432"/>
        <c:axId val="1861868192"/>
      </c:scatterChart>
      <c:valAx>
        <c:axId val="186187443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1868192"/>
        <c:crosses val="autoZero"/>
        <c:crossBetween val="midCat"/>
      </c:valAx>
      <c:valAx>
        <c:axId val="1861868192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187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ustomXml" Target="../ink/ink1.xml"/><Relationship Id="rId1" Type="http://schemas.openxmlformats.org/officeDocument/2006/relationships/chart" Target="../charts/chart1.xml"/><Relationship Id="rId5" Type="http://schemas.openxmlformats.org/officeDocument/2006/relationships/image" Target="../media/image2.png"/><Relationship Id="rId4" Type="http://schemas.openxmlformats.org/officeDocument/2006/relationships/customXml" Target="../ink/ink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image" Target="../media/image1.png"/><Relationship Id="rId7" Type="http://schemas.openxmlformats.org/officeDocument/2006/relationships/chart" Target="../charts/chart3.xml"/><Relationship Id="rId1" Type="http://schemas.openxmlformats.org/officeDocument/2006/relationships/customXml" Target="../ink/ink3.xml"/><Relationship Id="rId6" Type="http://schemas.openxmlformats.org/officeDocument/2006/relationships/chart" Target="../charts/chart2.xml"/><Relationship Id="rId5" Type="http://schemas.openxmlformats.org/officeDocument/2006/relationships/image" Target="../media/image2.png"/><Relationship Id="rId4" Type="http://schemas.openxmlformats.org/officeDocument/2006/relationships/customXml" Target="../ink/ink4.xml"/><Relationship Id="rId9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581026</xdr:colOff>
      <xdr:row>0</xdr:row>
      <xdr:rowOff>576883</xdr:rowOff>
    </xdr:from>
    <xdr:to>
      <xdr:col>37</xdr:col>
      <xdr:colOff>523875</xdr:colOff>
      <xdr:row>8</xdr:row>
      <xdr:rowOff>85725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B9C3A17-D0C1-4750-AD85-485FC5EC6B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151980</xdr:colOff>
      <xdr:row>9</xdr:row>
      <xdr:rowOff>305565</xdr:rowOff>
    </xdr:from>
    <xdr:to>
      <xdr:col>21</xdr:col>
      <xdr:colOff>38820</xdr:colOff>
      <xdr:row>10</xdr:row>
      <xdr:rowOff>351675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26" name="Рукописный ввод 25">
              <a:extLst>
                <a:ext uri="{FF2B5EF4-FFF2-40B4-BE49-F238E27FC236}">
                  <a16:creationId xmlns:a16="http://schemas.microsoft.com/office/drawing/2014/main" id="{9B4108D1-396B-47C9-8BAC-E645397D9F45}"/>
                </a:ext>
              </a:extLst>
            </xdr14:cNvPr>
            <xdr14:cNvContentPartPr/>
          </xdr14:nvContentPartPr>
          <xdr14:nvPr macro=""/>
          <xdr14:xfrm>
            <a:off x="12629730" y="5191890"/>
            <a:ext cx="496440" cy="522360"/>
          </xdr14:xfrm>
        </xdr:contentPart>
      </mc:Choice>
      <mc:Fallback xmlns="">
        <xdr:pic>
          <xdr:nvPicPr>
            <xdr:cNvPr id="26" name="Рукописный ввод 25">
              <a:extLst>
                <a:ext uri="{FF2B5EF4-FFF2-40B4-BE49-F238E27FC236}">
                  <a16:creationId xmlns:a16="http://schemas.microsoft.com/office/drawing/2014/main" id="{9B4108D1-396B-47C9-8BAC-E645397D9F4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2594090" y="5155890"/>
              <a:ext cx="568080" cy="594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161925</xdr:colOff>
      <xdr:row>9</xdr:row>
      <xdr:rowOff>125205</xdr:rowOff>
    </xdr:from>
    <xdr:to>
      <xdr:col>25</xdr:col>
      <xdr:colOff>253245</xdr:colOff>
      <xdr:row>13</xdr:row>
      <xdr:rowOff>187185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59" name="Рукописный ввод 58">
              <a:extLst>
                <a:ext uri="{FF2B5EF4-FFF2-40B4-BE49-F238E27FC236}">
                  <a16:creationId xmlns:a16="http://schemas.microsoft.com/office/drawing/2014/main" id="{029E77D0-F77C-45E7-A82C-14E89495B55E}"/>
                </a:ext>
              </a:extLst>
            </xdr14:cNvPr>
            <xdr14:cNvContentPartPr/>
          </xdr14:nvContentPartPr>
          <xdr14:nvPr macro=""/>
          <xdr14:xfrm>
            <a:off x="11420475" y="5011530"/>
            <a:ext cx="4358520" cy="1700280"/>
          </xdr14:xfrm>
        </xdr:contentPart>
      </mc:Choice>
      <mc:Fallback xmlns="">
        <xdr:pic>
          <xdr:nvPicPr>
            <xdr:cNvPr id="59" name="Рукописный ввод 58">
              <a:extLst>
                <a:ext uri="{FF2B5EF4-FFF2-40B4-BE49-F238E27FC236}">
                  <a16:creationId xmlns:a16="http://schemas.microsoft.com/office/drawing/2014/main" id="{029E77D0-F77C-45E7-A82C-14E89495B55E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384835" y="4975890"/>
              <a:ext cx="4430160" cy="17719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292473</xdr:colOff>
      <xdr:row>14</xdr:row>
      <xdr:rowOff>37485</xdr:rowOff>
    </xdr:from>
    <xdr:to>
      <xdr:col>18</xdr:col>
      <xdr:colOff>181695</xdr:colOff>
      <xdr:row>15</xdr:row>
      <xdr:rowOff>73741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Рукописный ввод 1">
              <a:extLst>
                <a:ext uri="{FF2B5EF4-FFF2-40B4-BE49-F238E27FC236}">
                  <a16:creationId xmlns:a16="http://schemas.microsoft.com/office/drawing/2014/main" id="{E17FA317-D453-4B6A-B3FD-6222F493C0E5}"/>
                </a:ext>
              </a:extLst>
            </xdr14:cNvPr>
            <xdr14:cNvContentPartPr/>
          </xdr14:nvContentPartPr>
          <xdr14:nvPr macro=""/>
          <xdr14:xfrm>
            <a:off x="10615192" y="3692704"/>
            <a:ext cx="496440" cy="522360"/>
          </xdr14:xfrm>
        </xdr:contentPart>
      </mc:Choice>
      <mc:Fallback xmlns="">
        <xdr:pic>
          <xdr:nvPicPr>
            <xdr:cNvPr id="26" name="Рукописный ввод 25">
              <a:extLst>
                <a:ext uri="{FF2B5EF4-FFF2-40B4-BE49-F238E27FC236}">
                  <a16:creationId xmlns:a16="http://schemas.microsoft.com/office/drawing/2014/main" id="{9B4108D1-396B-47C9-8BAC-E645397D9F4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2594090" y="5155890"/>
              <a:ext cx="568080" cy="594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297656</xdr:colOff>
      <xdr:row>13</xdr:row>
      <xdr:rowOff>47625</xdr:rowOff>
    </xdr:from>
    <xdr:to>
      <xdr:col>19</xdr:col>
      <xdr:colOff>96904</xdr:colOff>
      <xdr:row>19</xdr:row>
      <xdr:rowOff>177922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3" name="Рукописный ввод 2">
              <a:extLst>
                <a:ext uri="{FF2B5EF4-FFF2-40B4-BE49-F238E27FC236}">
                  <a16:creationId xmlns:a16="http://schemas.microsoft.com/office/drawing/2014/main" id="{1899FAF3-6F4A-4185-A6FC-C3D42956E2C0}"/>
                </a:ext>
              </a:extLst>
            </xdr14:cNvPr>
            <xdr14:cNvContentPartPr/>
          </xdr14:nvContentPartPr>
          <xdr14:nvPr macro=""/>
          <xdr14:xfrm>
            <a:off x="9405937" y="3512344"/>
            <a:ext cx="4358520" cy="1700280"/>
          </xdr14:xfrm>
        </xdr:contentPart>
      </mc:Choice>
      <mc:Fallback xmlns="">
        <xdr:pic>
          <xdr:nvPicPr>
            <xdr:cNvPr id="59" name="Рукописный ввод 58">
              <a:extLst>
                <a:ext uri="{FF2B5EF4-FFF2-40B4-BE49-F238E27FC236}">
                  <a16:creationId xmlns:a16="http://schemas.microsoft.com/office/drawing/2014/main" id="{029E77D0-F77C-45E7-A82C-14E89495B55E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384835" y="4975890"/>
              <a:ext cx="4430160" cy="17719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8</xdr:col>
      <xdr:colOff>274759</xdr:colOff>
      <xdr:row>82</xdr:row>
      <xdr:rowOff>20515</xdr:rowOff>
    </xdr:from>
    <xdr:to>
      <xdr:col>15</xdr:col>
      <xdr:colOff>501894</xdr:colOff>
      <xdr:row>105</xdr:row>
      <xdr:rowOff>182217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D78961C-D63F-49DA-9BEC-8654F98109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16565</xdr:colOff>
      <xdr:row>86</xdr:row>
      <xdr:rowOff>168966</xdr:rowOff>
    </xdr:from>
    <xdr:to>
      <xdr:col>8</xdr:col>
      <xdr:colOff>298174</xdr:colOff>
      <xdr:row>101</xdr:row>
      <xdr:rowOff>54666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9C2B98E-7F5F-494C-A891-ABFC55A7E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0</xdr:colOff>
      <xdr:row>122</xdr:row>
      <xdr:rowOff>0</xdr:rowOff>
    </xdr:from>
    <xdr:to>
      <xdr:col>18</xdr:col>
      <xdr:colOff>550550</xdr:colOff>
      <xdr:row>136</xdr:row>
      <xdr:rowOff>76200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2B3231AB-CD91-4C42-8D5F-F49A6E0726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342900</xdr:colOff>
      <xdr:row>118</xdr:row>
      <xdr:rowOff>371475</xdr:rowOff>
    </xdr:from>
    <xdr:to>
      <xdr:col>27</xdr:col>
      <xdr:colOff>598175</xdr:colOff>
      <xdr:row>132</xdr:row>
      <xdr:rowOff>152400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D524A109-DDB4-4913-ADF9-537B8E74C1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66675</xdr:colOff>
      <xdr:row>13</xdr:row>
      <xdr:rowOff>119062</xdr:rowOff>
    </xdr:from>
    <xdr:to>
      <xdr:col>26</xdr:col>
      <xdr:colOff>371475</xdr:colOff>
      <xdr:row>28</xdr:row>
      <xdr:rowOff>4762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4CDF04C-35EF-402C-991A-CD5CD910C0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11T23:12:42.393"/>
    </inkml:context>
    <inkml:brush xml:id="br0">
      <inkml:brushProperty name="width" value="0.2" units="cm"/>
      <inkml:brushProperty name="height" value="0.2" units="cm"/>
      <inkml:brushProperty name="color" value="#E71224"/>
      <inkml:brushProperty name="ignorePressure" value="1"/>
    </inkml:brush>
  </inkml:definitions>
  <inkml:trace contextRef="#ctx0" brushRef="#br0">1 1135,'0'5,"0"5,0 6,0 5,0 3,0 2,0 1,4 1,2 0,0-1,-1 0,-2 0,-1 0,-1-5</inkml:trace>
  <inkml:trace contextRef="#ctx0" brushRef="#br0" timeOffset="1492.86">821 156,'1'21,"1"-1,1 0,11 38,6 32,-7 89,-10 236,-7-189,5-209,0 1,0-1,2 0,6 25,-8-38,0 0,0 0,0 0,1 0,-1-1,1 1,0 0,0-1,0 1,1-1,-1 0,1 0,0 0,0 0,0 0,0 0,0-1,1 0,-1 1,1-1,-1-1,1 1,0 0,4 0,-5-2,-1 0,1 0,-1 0,0-1,1 1,-1-1,0 0,1 0,-1 0,0 0,0 0,0 0,0 0,0-1,0 1,0-1,-1 1,1-1,0 0,-1 0,1 0,-1 0,0 0,0 0,0 0,0 0,0 0,0-1,0 1,-1 0,1-4,5-12,-2-1,4-35,-6 40,22-109,5 0,48-125,30-121,-102 348,3-15,-1 1,-2-1,1-44,-4 53,0 1,2-1,10-36,-12 59,-1 10,0 4</inkml:trace>
  <inkml:trace contextRef="#ctx0" brushRef="#br0" timeOffset="2410.77">1324 976,'5'9,"1"1,-1-1,0 1,-1-1,0 1,-1 1,0-1,1 12,0-8,-1-3,0-1,-1 1,0 1,-1-1,0 0,-1 0,0 0,-1 1,0-1,-1 0,0 0,-1 0,0 0,-1-1,-8 19,9-24,0 1,0-1,1 0,0 1,0-1,0 1,0 0,1-1,0 1,1 0,-1 0,1 0,0 0,0 0,1 0,1 8,4 3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11T23:12:25.431"/>
    </inkml:context>
    <inkml:brush xml:id="br0">
      <inkml:brushProperty name="width" value="0.2" units="cm"/>
      <inkml:brushProperty name="height" value="0.2" units="cm"/>
      <inkml:brushProperty name="color" value="#E71224"/>
      <inkml:brushProperty name="ignorePressure" value="1"/>
    </inkml:brush>
  </inkml:definitions>
  <inkml:trace contextRef="#ctx0" brushRef="#br0">1 1927,'4'0,"2"0</inkml:trace>
  <inkml:trace contextRef="#ctx0" brushRef="#br0" timeOffset="750.78">80 2059,'9'23,"0"0,10 44,1 1,0-2,11 69,-24-91,3 0,2-1,1 0,2-1,22 42,-34-78,1 0,0 0,0-1,0 1,1-1,0 0,0 0,0-1,0 1,1-1,6 3,-11-6,-1-1,0 0,1 0,0 1,-1-1,1 0,-1 0,1 0,-1 0,1 1,-1-1,1 0,-1 0,1 0,0 0,-1 0,1-1,-1 1,1 0,-1 0,1 0,-1 0,1-1,-1 1,1 0,-1 0,1-1,-1 1,1 0,-1-1,1 1,-1-1,0 1,1 0,-1-1,0 1,1-1,-1 1,0-1,1 1,-1-1,0 1,0-1,0 1,0-1,1 0,4-36,-4 28,9-67,4 1,37-118,70-141,-74 209,15-53,-52 144</inkml:trace>
  <inkml:trace contextRef="#ctx0" brushRef="#br0" timeOffset="2481.63">715 2668,'-1'-31,"0"13,1 0,0 0,2 0,4-25,-5 40,0-1,0 0,0 1,0-1,1 1,-1 0,1 0,0-1,0 1,0 0,1 0,-1 1,1-1,-1 0,1 1,0 0,0 0,0-1,0 2,0-1,1 0,-1 1,0-1,1 1,0 0,6-1,-1 1,0 0,0 0,0 1,0 0,0 0,-1 1,1 0,0 1,0 0,-1 1,1-1,-1 2,0-1,0 1,8 5,-4 0,0 1,0 0,-1 1,-1 0,1 0,-2 1,16 26,-18-27,0 1,-1-1,-1 2,0-1,0 1,-1-1,-1 1,4 24,-7-31,1-1,-1 1,0-1,-1 0,1 1,-1-1,0 1,0-1,-1 0,0 0,0 0,0 0,0 0,-1 0,0 0,0-1,0 1,0-1,-1 0,0 0,1 0,-1-1,-1 1,-4 2,-21 12,-48 19,53-27,1 2,0 0,-41 30,42-27,19-13,1 0,0 0,-1 0,1 1,0-1,0 1,0 0,-3 4,6-6,-1 0,1 0,0 0,-1 1,1-1,0 0,0 0,0 0,0 1,0-1,0 0,1 0,-1 0,0 1,0-1,1 0,-1 0,1 0,-1 0,1 0,0 0,-1 0,1 0,0 0,0 0,-1 0,1 0,0 0,0-1,0 1,0 0,2 0,10 10,1-2,0 0,1-1,0 0,0-1,29 9,101 21,-107-32,0-1,0-1,47-4,-63 0</inkml:trace>
  <inkml:trace contextRef="#ctx0" brushRef="#br0" timeOffset="3500.91">1271 2085,'78'4,"94"16,-62-6,-27-4,363 24,-427-34</inkml:trace>
  <inkml:trace contextRef="#ctx0" brushRef="#br0" timeOffset="4688.92">1350 2482,'810'0,"-779"3,-1 0,1 2,52 16,-61-15</inkml:trace>
  <inkml:trace contextRef="#ctx0" brushRef="#br0" timeOffset="7067.79">2753 2244,'4389'0,"-4170"-13,-4-1,2504 15,-2674 1,54 10,-55-6,59 2,-12-8,97 15,138 12,222-15,-333-15,-179 4,-21 0,0 0,0-2,0 1,25-6,-23 0</inkml:trace>
  <inkml:trace contextRef="#ctx0" brushRef="#br0" timeOffset="9635.23">3441 921,'0'94,"1"57,-23 193,-1-143,19-175</inkml:trace>
  <inkml:trace contextRef="#ctx0" brushRef="#br0" timeOffset="10868.37">3441 763,'16'-1,"0"-1,0 0,0-2,0 0,24-9,-21 6,1 1,29-5,-41 10,0 0,0 1,0 0,-1 1,1-1,0 1,0 1,-1-1,1 1,8 4,-1 1,0 0,-1 1,0 1,-1 0,0 1,0 0,21 23,0 7,33 48,-23-28,-43-58,0-1,1 1,-1 0,0-1,0 1,0 0,0-1,-1 1,1 0,0 0,-1 0,1 0,-1 0,0 0,1 3,-2-4,1 0,0-1,-1 1,1 0,0 0,-1 0,1 0,-1-1,1 1,-1 0,0 0,1-1,-1 1,0-1,1 1,-1 0,0-1,0 1,0-1,1 0,-1 1,0-1,-1 1,-8 1,1-1,-1 1,1-1,-1-1,-11 0,-3 0,-13 4,1 3,-1 1,2 1,-1 2,-51 24,-26 8,88-36</inkml:trace>
  <inkml:trace contextRef="#ctx0" brushRef="#br0" timeOffset="22612.87">5663 1292,'4'0,"2"5,4 5,1 6,2 1,0 1,1 2,4-2,-2 5,1-2,-2 1,-4-4</inkml:trace>
  <inkml:trace contextRef="#ctx0" brushRef="#br0" timeOffset="25003.02">5848 1583,'-2'21,"0"0,-9 38,-1-1,11-53,0 0,1 0,-1 0,1 0,0 1,0-1,0 0,1 0,2 7,-2-10,0 0,0 0,0-1,1 1,-1 0,1-1,-1 1,1-1,0 0,0 1,0-1,-1 0,1 0,0 0,0 0,0-1,1 1,-1 0,0-1,0 1,0-1,0 0,1 0,-1 0,2 0,6 0,-1 0,0 0,1-1,-1 0,0 0,0-1,0 0,0-1,0 0,0-1,-1 1,0-2,1 1,-1-1,-1 0,1-1,-1 0,0 0,6-7,-1-1,-2 0,1-1,-2 0,0 0,0-1,-2 0,0 0,9-34,-1 5,30-65,-5 14,-6 23,-25 56,0 1,-2-1,0-1,-1 1,5-25,15-68,-17 80,-2 0,-1-1,3-41,-10-188,1 257,-1-1,1 0,-1 0,0 0,0 1,0-1,-1 1,1-1,-1 1,0-1,0 1,0 0,-1 0,1 0,-1 0,-4-4,-2 0,1 2,-1-1,-1 1,-16-6,-6-3,21 9,0 1,-1 0,1 1,-1 0,0 1,0 0,-15 0,-91 5,45 0,61-3,-50 4,59-3,0 0,0 0,0-1,0 2,0-1,0 0,1 1,-1-1,0 1,1 0,-1 0,1 0,0 0,0 0,0 0,0 1,-2 2,-4 10</inkml:trace>
  <inkml:trace contextRef="#ctx0" brushRef="#br0" timeOffset="27990.41">6457 1450,'15'-6,"1"1,0 0,0 1,0 0,0 1,1 1,20 0,116 8,-148-6,-1 0,1 1,-1-1,1 1,0 1,-1-1,1 0,-1 1,0 0,0 0,0 0,0 1,0 0,0-1,0 1,-1 0,1 1,-1-1,5 8,-6-7,0 0,0 1,-1-1,1 1,-1-1,0 1,0-1,-1 1,1 0,-1-1,0 1,-1 0,1-1,-1 1,0 0,0-1,0 1,-1-1,1 0,-4 6,1-1,-1-1,0 0,0 1,-1-2,0 1,0-1,-1 0,1 0,-16 11,-5 0,-48 25,-10 7,81-47,0-1,1 1,-1 0,0 1,1-1,0 1,0-1,0 1,0 0,1 0,-1 0,1 1,0-1,0 0,-1 7,2-8,1-1,0 1,0-1,0 1,1 0,-1-1,1 1,-1-1,1 1,0 0,0-1,0 0,0 1,1-1,-1 0,0 0,1 1,0-1,-1 0,1 0,0-1,0 1,0 0,0-1,1 1,-1-1,0 0,4 2,10 6,0-1,0-1,1 0,0-1,1-1,-1-1,1 0,0-1,0-1,35 0,-38-2,1 2,-1 0,21 6,17 2,-33-8</inkml:trace>
  <inkml:trace contextRef="#ctx0" brushRef="#br0" timeOffset="31725.17">7489 1107,'558'0,"-551"0,-4 0,0 0,1-1,-1 1,0 1,0-1,1 0,-1 1,0-1,0 1,0 0,0 0,0 1,0-1,4 3,-7-4,0 0,0 1,0-1,0 0,0 0,0 1,0-1,0 0,0 1,0-1,0 0,0 0,0 1,0-1,0 0,-1 1,1-1,0 0,0 0,0 1,0-1,0 0,-1 0,1 0,0 1,0-1,-1 0,1 0,0 0,0 1,-1-1,1 0,0 0,0 0,-1 0,1 0,0 0,0 0,-1 0,1 0,0 0,-1 0,1 0,0 0,-1 0,-18 5,17-4,-195 53,118-31,73-21,0 0,0 1,1 0,-1 0,1 0,0 0,0 1,0 0,0 0,0 1,1-1,-7 9,-2 6,1 1,-12 25,-6 9,11-24,10-14,-1 0,-1 0,0-1,-19 18,21-24,0 0,0 1,1 0,0 0,1 0,0 1,1 1,-7 17,13-28,0 0,0 0,0 0,0 0,0 0,1 1,-1-1,0 0,1 0,-1 0,1 0,-1 0,1 0,0 0,-1 0,1 0,0 0,0-1,0 1,0 0,-1 0,1-1,0 1,0-1,0 1,1-1,-1 1,0-1,0 1,0-1,0 0,0 0,0 1,2-1,46 3,-44-3,37 0,15 0,107 13,-119-8,1-2,50-3,44 3,-119 1,-4 2</inkml:trace>
  <inkml:trace contextRef="#ctx0" brushRef="#br0" timeOffset="33262.46">8441 1450,'3'2,"0"-1,0 0,1 1,-1 0,0-1,0 1,-1 0,1 1,0-1,-1 0,1 1,-1 0,0-1,0 1,0 0,2 4,15 16,-7-12,0-2,-2 1,0 0,0 0,0 1,10 16,-19-25,0 0,1 0,-1 1,0-1,0 0,0 1,-1-1,1 1,-1-1,1 1,-1-1,0 1,0 0,0-1,0 1,0-1,-1 1,1-1,-1 1,1-1,-1 1,0-1,0 1,0-1,-1 0,1 0,0 0,-1 1,0-1,1-1,-1 1,0 0,0 0,0-1,0 1,-4 2,0-1,0 0,0 0,0 0,-1-1,1 0,-10 2,10-3,1 1,0-1,0 1,-1 0,1 0,0 0,0 1,1 0,-8 4,12-6,-1-1,1 1,0-1,-1 1,1-1,-1 0,1 1,0-1,-1 1,1 0,0-1,0 1,-1-1,1 1,0-1,0 1,0 0,0-1,0 1,0-1,0 1,0 0,0-1,0 1,0-1,0 1,0 0,0-1,0 1,1-1,-1 1,0 0,19 15,30 2,-3-7,0-2,0-2,1-2,58-1,-27-4,-55-1</inkml:trace>
  <inkml:trace contextRef="#ctx0" brushRef="#br0" timeOffset="34258.46">9473 1768,'-5'-67,"-2"-1,-28-118,16 95,-18-105,10-2,-5-299,20 272,0-14,13 336,-1-66</inkml:trace>
  <inkml:trace contextRef="#ctx0" brushRef="#br0" timeOffset="35101.87">8838 180,'6'0,"0"-1,0 0,0 0,-1-1,1 0,0 0,10-6,18-5,18-1,1 2,1 3,70-3,167 8,-262 6,0 1,0 2,0 1,-1 1,0 2,41 18,-35-15,-16-5</inkml:trace>
  <inkml:trace contextRef="#ctx0" brushRef="#br0" timeOffset="37079.71">9817 1477,'2'-3,"1"0,-1 0,1 1,0-1,0 0,0 1,1 0,-1 0,1 0,-1 0,1 0,0 1,-1 0,1 0,0 0,0 0,0 0,0 1,0-1,7 2,-7 0,0 0,1 1,-1 0,0 0,0 0,0 1,-1-1,1 1,-1 0,1 0,-1 0,0 0,0 1,0-1,-1 1,1-1,3 9,-3-7,0 0,0 0,0 1,-1-1,1 1,-1 0,-1-1,1 1,-1 0,1 11,-3-13,1 0,-1 0,0-1,0 1,-1 0,1-1,-1 1,0-1,0 1,0-1,0 0,0 0,-1 0,1 0,-1 0,0 0,-5 3,-2 2,0 1,1 1,0-1,0 1,-11 18,17-24,1 1,0-1,0 1,0 0,1 0,-1 0,1-1,1 1,-1 0,0 1,1-1,0 0,0 0,1 0,0 0,-1 0,4 9,-3-11,0-1,0 1,1-1,-1 1,1-1,-1 1,1-1,0 0,0 0,0 0,0 0,0 0,0 0,0 0,1-1,-1 1,1-1,-1 0,1 0,0 0,-1 0,1 0,3 0,8 2,-1-2,1 0,25-1,12 1,-46 0,150 28,-132-23</inkml:trace>
  <inkml:trace contextRef="#ctx0" brushRef="#br0" timeOffset="39515.55">9447 2747,'0'1257,"0"-1228</inkml:trace>
  <inkml:trace contextRef="#ctx0" brushRef="#br0" timeOffset="40671.42">9817 2800,'4'0,"6"0,7 0,-1 0</inkml:trace>
  <inkml:trace contextRef="#ctx0" brushRef="#br0" timeOffset="41605.28">9791 2800,'-690'0,"668"0</inkml:trace>
  <inkml:trace contextRef="#ctx0" brushRef="#br0" timeOffset="42832.78">9976 3779,'0'5,"0"5,-5 2,-1 3,0 3,1 4,2 2,1 1,1 2,0 0,1 0,1 0,-1 0,0-1,0 1,0 0,1-5</inkml:trace>
  <inkml:trace contextRef="#ctx0" brushRef="#br0" timeOffset="45291.38">7568 3541,'424'0,"-420"0,-1 0,0 0,0 0,0 0,0 1,1-1,-1 1,0 0,0 0,0 0,0 0,0 1,-1-1,1 1,0-1,3 4,-5-3,0-1,-1 1,1 0,0-1,-1 1,1 0,-1 0,0-1,1 1,-1 0,0 0,0 0,0 0,0-1,-1 1,1 0,-1 0,1 0,-1-1,1 1,-1 0,0-1,0 1,0 0,0-1,0 1,0-1,0 0,-3 3,-20 26,-36 36,-7 7,-50 44,56-63,50-47,1 0,1 1,-1 1,1 0,1 0,0 0,0 1,-9 16,16-25,0 0,1 0,-1 1,1-1,-1 0,1 0,0 0,-1 0,1 1,0-1,0 0,0 0,0 0,0 1,0-1,0 0,0 0,0 0,1 1,-1-1,1 0,-1 0,0 0,1 0,0 0,0 1,1 0,0 0,0-1,0 1,0-1,0 1,0-1,1 0,-1 0,0 0,1 0,-1-1,3 2,11 0,0 0,0-1,20 0,-28-1,156 12,1 0,-141-12</inkml:trace>
  <inkml:trace contextRef="#ctx0" brushRef="#br0" timeOffset="46346.73">8309 4017,'0'5,"-5"5,-1 11,0 15,-3 10,-5 11,-4 5,1 0,3 0,4-7,4-8,2-8,3-6,1-8</inkml:trace>
  <inkml:trace contextRef="#ctx0" brushRef="#br0" timeOffset="49595.23">6033 4229,'0'5,"0"1</inkml:trace>
  <inkml:trace contextRef="#ctx0" brushRef="#br0" timeOffset="52412.61">5584 3779,'10'2,"1"0,-1 1,0 0,1 1,-1 0,0 0,18 12,-2-3,-4-1,-1 0,0 1,0 1,-2 1,34 32,72 99,-113-131,13 13,-19-22,0 0,0 1,0 0,-1 0,0 1,-1-1,5 10,-8-14,-1-1,1 1,-1-1,0 1,0-1,0 1,0-1,0 1,0 0,-1-1,1 1,-1-1,0 1,0-1,0 0,0 1,0-1,0 0,-1 0,1 0,-1 1,1-1,-1-1,0 1,0 0,0 0,0-1,0 1,-4 1,-10 7,13-9,0 0,0 0,1 1,-1-1,0 1,1-1,0 1,-1 0,1 0,0 0,0 0,0 1,0-1,0 0,1 1,-1-1,-2 6,4-7,0 0,0-1,0 1,1-1,-1 1,0 0,0-1,0 1,0-1,1 1,-1 0,0-1,0 1,1-1,-1 1,0-1,1 1,-1-1,1 1,-1-1,1 0,-1 1,1-1,-1 0,1 1,-1-1,1 0,-1 1,1-1,1 0,22-1,21-18,-28 7,-1-1,0-1,-1 0,-1-1,0 0,-1-1,-1-1,-1 0,15-28,-12 21,0 0,2 2,1 0,29-30,-41 46,0 1,0-1,0-1,-1 1,0 0,0-1,-1 0,1 0,-2 0,1 0,-1-1,0 1,0-1,0-11,0-11,-1-1,-5-42,1 4,1 54,1 0,-2 0,0 0,-1 1,0-1,-1 1,-1 0,0 0,-1 1,0-1,-1 2,-1-1,0 1,0 0,-2 1,1 0,-1 1,-1 0,0 1,0 0,0 1,-2 0,1 1,0 0,-22-6,-57-23,62 23,-1 1,-54-13,-24 1,88 22</inkml:trace>
  <inkml:trace contextRef="#ctx0" brushRef="#br0" timeOffset="53995.54">6589 4255,'1'16,"0"0,2 0,5 20,5 37,0 15,-8-63,-1 0,1 26,-4-30,-2 0,-3 31,-2-25</inkml:trace>
  <inkml:trace contextRef="#ctx0" brushRef="#br0" timeOffset="56856.14">3917 3408,'0'828,"1"-802,1-1,8 31,-5-29,3 45,-8 113,0-163</inkml:trace>
  <inkml:trace contextRef="#ctx0" brushRef="#br0" timeOffset="58757.28">3970 3408,'94'2,"103"-4,-171-2,-22 3,0 1,1-1,-1 0,1 1,-1 0,0 0,1 1,7 1,-10-1,0 0,0 0,0 0,0 1,-1-1,1 0,0 1,-1 0,1-1,-1 1,0 0,0 0,1 0,-1 0,0 0,0 0,-1 0,1 0,0 0,-1 0,1 5,2 7,0 1,-2 0,0 0,0 0,-1 0,-1 0,-3 18,-5 9,-17 48,24-82,-2 10,1 1,0-1,0 30,2-23,-7 45,7-64,-1 0,1 0,-1 0,-1-1,1 1,-1-1,0 1,0-1,0 0,-1 0,0 0,-5 5,5-7,0 0,0 0,0 0,-1-1,1 0,0 0,-1 0,0 0,1-1,-1 0,0 0,0 0,-5 0,-70-3,67 0,-1 1,1 0,-1 2,-26 2,23 3</inkml:trace>
  <inkml:trace contextRef="#ctx0" brushRef="#br0" timeOffset="61012.91">4658 3990,'6'1,"1"-1,0 1,0 0,0 1,0 0,-1 0,1 0,-1 1,0 0,1 0,5 5,8 6,33 31,4 2,-53-44,0 1,0-1,0 1,-1 0,1 0,-1 0,0 0,0 0,0 1,0 0,-1-1,0 1,0 0,0 0,-1 0,1 0,-1 0,0 1,-1-1,0 0,1 0,-1 1,-1-1,1 0,-1 0,0 1,0-1,-1 0,0 0,1 0,-2 0,1-1,0 1,-1 0,0-1,0 0,0 0,-1 0,0 0,1 0,-1-1,0 1,-1-1,-5 4,-118 61,104-50,24-17,0-1,0 0,-1 1,1-1,0 1,0-1,0 1,0-1,0 1,-1 0,1-1,0 1,0-1,1 1,-1-1,0 1,0-1,0 1,0-1,0 1,0-1,1 1,-1-1,0 1,0-1,1 0,-1 1,1 0,3 2,1 1,-1-1,1-1,-1 1,1-1,0 1,6 1,10 5,-4-3,0 0,1-1,-1 0,1-2,0 0,0-1,0-1,25-1,-15 0,1 2,35 6,-25-2,0-1,68 0,-85-5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13T17:32:14.244"/>
    </inkml:context>
    <inkml:brush xml:id="br0">
      <inkml:brushProperty name="width" value="0.2" units="cm"/>
      <inkml:brushProperty name="height" value="0.2" units="cm"/>
      <inkml:brushProperty name="color" value="#E71224"/>
      <inkml:brushProperty name="ignorePressure" value="1"/>
    </inkml:brush>
  </inkml:definitions>
  <inkml:trace contextRef="#ctx0" brushRef="#br0">1 1135,'0'5,"0"5,0 6,0 5,0 3,0 2,0 1,4 1,2 0,0-1,-1 0,-2 0,-1 0,-1-5</inkml:trace>
  <inkml:trace contextRef="#ctx0" brushRef="#br0" timeOffset="1">821 156,'1'21,"1"-1,1 0,11 38,6 32,-7 89,-10 236,-7-189,5-209,0 1,0-1,2 0,6 25,-8-38,0 0,0 0,0 0,1 0,-1-1,1 1,0 0,0-1,0 1,1-1,-1 0,1 0,0 0,0 0,0 0,0 0,0-1,1 0,-1 1,1-1,-1-1,1 1,0 0,4 0,-5-2,-1 0,1 0,-1 0,0-1,1 1,-1-1,0 0,1 0,-1 0,0 0,0 0,0 0,0 0,0-1,0 1,0-1,-1 1,1-1,0 0,-1 0,1 0,-1 0,0 0,0 0,0 0,0 0,0 0,0-1,0 1,-1 0,1-4,5-12,-2-1,4-35,-6 40,22-109,5 0,48-125,30-121,-102 348,3-15,-1 1,-2-1,1-44,-4 53,0 1,2-1,10-36,-12 59,-1 10,0 4</inkml:trace>
  <inkml:trace contextRef="#ctx0" brushRef="#br0" timeOffset="2">1324 976,'5'9,"1"1,-1-1,0 1,-1-1,0 1,-1 1,0-1,1 12,0-8,-1-3,0-1,-1 1,0 1,-1-1,0 0,-1 0,0 0,-1 1,0-1,-1 0,0 0,-1 0,0 0,-1-1,-8 19,9-24,0 1,0-1,1 0,0 1,0-1,0 1,0 0,1-1,0 1,1 0,-1 0,1 0,0 0,0 0,1 0,1 8,4 3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13T17:32:14.247"/>
    </inkml:context>
    <inkml:brush xml:id="br0">
      <inkml:brushProperty name="width" value="0.2" units="cm"/>
      <inkml:brushProperty name="height" value="0.2" units="cm"/>
      <inkml:brushProperty name="color" value="#E71224"/>
      <inkml:brushProperty name="ignorePressure" value="1"/>
    </inkml:brush>
  </inkml:definitions>
  <inkml:trace contextRef="#ctx0" brushRef="#br0">1 1927,'4'0,"2"0</inkml:trace>
  <inkml:trace contextRef="#ctx0" brushRef="#br0" timeOffset="1">80 2059,'9'23,"0"0,10 44,1 1,0-2,11 69,-24-91,3 0,2-1,1 0,2-1,22 42,-34-78,1 0,0 0,0-1,0 1,1-1,0 0,0 0,0-1,0 1,1-1,6 3,-11-6,-1-1,0 0,1 0,0 1,-1-1,1 0,-1 0,1 0,-1 0,1 1,-1-1,1 0,-1 0,1 0,0 0,-1 0,1-1,-1 1,1 0,-1 0,1 0,-1 0,1-1,-1 1,1 0,-1 0,1-1,-1 1,1 0,-1-1,1 1,-1-1,0 1,1 0,-1-1,0 1,1-1,-1 1,0-1,1 1,-1-1,0 1,0-1,0 1,0-1,1 0,4-36,-4 28,9-67,4 1,37-118,70-141,-74 209,15-53,-52 144</inkml:trace>
  <inkml:trace contextRef="#ctx0" brushRef="#br0" timeOffset="2">715 2668,'-1'-31,"0"13,1 0,0 0,2 0,4-25,-5 40,0-1,0 0,0 1,0-1,1 1,-1 0,1 0,0-1,0 1,0 0,1 0,-1 1,1-1,-1 0,1 1,0 0,0 0,0-1,0 2,0-1,1 0,-1 1,0-1,1 1,0 0,6-1,-1 1,0 0,0 0,0 1,0 0,0 0,-1 1,1 0,0 1,0 0,-1 1,1-1,-1 2,0-1,0 1,8 5,-4 0,0 1,0 0,-1 1,-1 0,1 0,-2 1,16 26,-18-27,0 1,-1-1,-1 2,0-1,0 1,-1-1,-1 1,4 24,-7-31,1-1,-1 1,0-1,-1 0,1 1,-1-1,0 1,0-1,-1 0,0 0,0 0,0 0,0 0,-1 0,0 0,0-1,0 1,0-1,-1 0,0 0,1 0,-1-1,-1 1,-4 2,-21 12,-48 19,53-27,1 2,0 0,-41 30,42-27,19-13,1 0,0 0,-1 0,1 1,0-1,0 1,0 0,-3 4,6-6,-1 0,1 0,0 0,-1 1,1-1,0 0,0 0,0 0,0 1,0-1,0 0,1 0,-1 0,0 1,0-1,1 0,-1 0,1 0,-1 0,1 0,0 0,-1 0,1 0,0 0,0 0,-1 0,1 0,0 0,0-1,0 1,0 0,2 0,10 10,1-2,0 0,1-1,0 0,0-1,29 9,101 21,-107-32,0-1,0-1,47-4,-63 0</inkml:trace>
  <inkml:trace contextRef="#ctx0" brushRef="#br0" timeOffset="3">1271 2085,'78'4,"94"16,-62-6,-27-4,363 24,-427-34</inkml:trace>
  <inkml:trace contextRef="#ctx0" brushRef="#br0" timeOffset="4">1350 2482,'810'0,"-779"3,-1 0,1 2,52 16,-61-15</inkml:trace>
  <inkml:trace contextRef="#ctx0" brushRef="#br0" timeOffset="5">2753 2244,'4389'0,"-4170"-13,-4-1,2504 15,-2674 1,54 10,-55-6,59 2,-12-8,97 15,138 12,222-15,-333-15,-179 4,-21 0,0 0,0-2,0 1,25-6,-23 0</inkml:trace>
  <inkml:trace contextRef="#ctx0" brushRef="#br0" timeOffset="6">3441 921,'0'94,"1"57,-23 193,-1-143,19-175</inkml:trace>
  <inkml:trace contextRef="#ctx0" brushRef="#br0" timeOffset="7">3441 763,'16'-1,"0"-1,0 0,0-2,0 0,24-9,-21 6,1 1,29-5,-41 10,0 0,0 1,0 0,-1 1,1-1,0 1,0 1,-1-1,1 1,8 4,-1 1,0 0,-1 1,0 1,-1 0,0 1,0 0,21 23,0 7,33 48,-23-28,-43-58,0-1,1 1,-1 0,0-1,0 1,0 0,0-1,-1 1,1 0,0 0,-1 0,1 0,-1 0,0 0,1 3,-2-4,1 0,0-1,-1 1,1 0,0 0,-1 0,1 0,-1-1,1 1,-1 0,0 0,1-1,-1 1,0-1,1 1,-1 0,0-1,0 1,0-1,1 0,-1 1,0-1,-1 1,-8 1,1-1,-1 1,1-1,-1-1,-11 0,-3 0,-13 4,1 3,-1 1,2 1,-1 2,-51 24,-26 8,88-36</inkml:trace>
  <inkml:trace contextRef="#ctx0" brushRef="#br0" timeOffset="8">5663 1292,'4'0,"2"5,4 5,1 6,2 1,0 1,1 2,4-2,-2 5,1-2,-2 1,-4-4</inkml:trace>
  <inkml:trace contextRef="#ctx0" brushRef="#br0" timeOffset="9">5848 1583,'-2'21,"0"0,-9 38,-1-1,11-53,0 0,1 0,-1 0,1 0,0 1,0-1,0 0,1 0,2 7,-2-10,0 0,0 0,0-1,1 1,-1 0,1-1,-1 1,1-1,0 0,0 1,0-1,-1 0,1 0,0 0,0 0,0-1,1 1,-1 0,0-1,0 1,0-1,0 0,1 0,-1 0,2 0,6 0,-1 0,0 0,1-1,-1 0,0 0,0-1,0 0,0-1,0 0,0-1,-1 1,0-2,1 1,-1-1,-1 0,1-1,-1 0,0 0,6-7,-1-1,-2 0,1-1,-2 0,0 0,0-1,-2 0,0 0,9-34,-1 5,30-65,-5 14,-6 23,-25 56,0 1,-2-1,0-1,-1 1,5-25,15-68,-17 80,-2 0,-1-1,3-41,-10-188,1 257,-1-1,1 0,-1 0,0 0,0 1,0-1,-1 1,1-1,-1 1,0-1,0 1,0 0,-1 0,1 0,-1 0,-4-4,-2 0,1 2,-1-1,-1 1,-16-6,-6-3,21 9,0 1,-1 0,1 1,-1 0,0 1,0 0,-15 0,-91 5,45 0,61-3,-50 4,59-3,0 0,0 0,0-1,0 2,0-1,0 0,1 1,-1-1,0 1,1 0,-1 0,1 0,0 0,0 0,0 0,0 1,-2 2,-4 10</inkml:trace>
  <inkml:trace contextRef="#ctx0" brushRef="#br0" timeOffset="10">6457 1450,'15'-6,"1"1,0 0,0 1,0 0,0 1,1 1,20 0,116 8,-148-6,-1 0,1 1,-1-1,1 1,0 1,-1-1,1 0,-1 1,0 0,0 0,0 0,0 1,0 0,0-1,0 1,-1 0,1 1,-1-1,5 8,-6-7,0 0,0 1,-1-1,1 1,-1-1,0 1,0-1,-1 1,1 0,-1-1,0 1,-1 0,1-1,-1 1,0 0,0-1,0 1,-1-1,1 0,-4 6,1-1,-1-1,0 0,0 1,-1-2,0 1,0-1,-1 0,1 0,-16 11,-5 0,-48 25,-10 7,81-47,0-1,1 1,-1 0,0 1,1-1,0 1,0-1,0 1,0 0,1 0,-1 0,1 1,0-1,0 0,-1 7,2-8,1-1,0 1,0-1,0 1,1 0,-1-1,1 1,-1-1,1 1,0 0,0-1,0 0,0 1,1-1,-1 0,0 0,1 1,0-1,-1 0,1 0,0-1,0 1,0 0,0-1,1 1,-1-1,0 0,4 2,10 6,0-1,0-1,1 0,0-1,1-1,-1-1,1 0,0-1,0-1,35 0,-38-2,1 2,-1 0,21 6,17 2,-33-8</inkml:trace>
  <inkml:trace contextRef="#ctx0" brushRef="#br0" timeOffset="11">7489 1107,'558'0,"-551"0,-4 0,0 0,1-1,-1 1,0 1,0-1,1 0,-1 1,0-1,0 1,0 0,0 0,0 1,0-1,4 3,-7-4,0 0,0 1,0-1,0 0,0 0,0 1,0-1,0 0,0 1,0-1,0 0,0 0,0 1,0-1,0 0,-1 1,1-1,0 0,0 0,0 1,0-1,0 0,-1 0,1 0,0 1,0-1,-1 0,1 0,0 0,0 1,-1-1,1 0,0 0,0 0,-1 0,1 0,0 0,0 0,-1 0,1 0,0 0,-1 0,1 0,0 0,-1 0,-18 5,17-4,-195 53,118-31,73-21,0 0,0 1,1 0,-1 0,1 0,0 0,0 1,0 0,0 0,0 1,1-1,-7 9,-2 6,1 1,-12 25,-6 9,11-24,10-14,-1 0,-1 0,0-1,-19 18,21-24,0 0,0 1,1 0,0 0,1 0,0 1,1 1,-7 17,13-28,0 0,0 0,0 0,0 0,0 0,1 1,-1-1,0 0,1 0,-1 0,1 0,-1 0,1 0,0 0,-1 0,1 0,0 0,0-1,0 1,0 0,-1 0,1-1,0 1,0-1,0 1,1-1,-1 1,0-1,0 1,0-1,0 0,0 0,0 1,2-1,46 3,-44-3,37 0,15 0,107 13,-119-8,1-2,50-3,44 3,-119 1,-4 2</inkml:trace>
  <inkml:trace contextRef="#ctx0" brushRef="#br0" timeOffset="12">8441 1450,'3'2,"0"-1,0 0,1 1,-1 0,0-1,0 1,-1 0,1 1,0-1,-1 0,1 1,-1 0,0-1,0 1,0 0,2 4,15 16,-7-12,0-2,-2 1,0 0,0 0,0 1,10 16,-19-25,0 0,1 0,-1 1,0-1,0 0,0 1,-1-1,1 1,-1-1,1 1,-1-1,0 1,0 0,0-1,0 1,0-1,-1 1,1-1,-1 1,1-1,-1 1,0-1,0 1,0-1,-1 0,1 0,0 0,-1 1,0-1,1-1,-1 1,0 0,0 0,0-1,0 1,-4 2,0-1,0 0,0 0,0 0,-1-1,1 0,-10 2,10-3,1 1,0-1,0 1,-1 0,1 0,0 0,0 1,1 0,-8 4,12-6,-1-1,1 1,0-1,-1 1,1-1,-1 0,1 1,0-1,-1 1,1 0,0-1,0 1,-1-1,1 1,0-1,0 1,0 0,0-1,0 1,0-1,0 1,0 0,0-1,0 1,0-1,0 1,0 0,0-1,0 1,1-1,-1 1,0 0,19 15,30 2,-3-7,0-2,0-2,1-2,58-1,-27-4,-55-1</inkml:trace>
  <inkml:trace contextRef="#ctx0" brushRef="#br0" timeOffset="13">9473 1768,'-5'-67,"-2"-1,-28-118,16 95,-18-105,10-2,-5-299,20 272,0-14,13 336,-1-66</inkml:trace>
  <inkml:trace contextRef="#ctx0" brushRef="#br0" timeOffset="14">8838 180,'6'0,"0"-1,0 0,0 0,-1-1,1 0,0 0,10-6,18-5,18-1,1 2,1 3,70-3,167 8,-262 6,0 1,0 2,0 1,-1 1,0 2,41 18,-35-15,-16-5</inkml:trace>
  <inkml:trace contextRef="#ctx0" brushRef="#br0" timeOffset="15">9817 1477,'2'-3,"1"0,-1 0,1 1,0-1,0 0,0 1,1 0,-1 0,1 0,-1 0,1 0,0 1,-1 0,1 0,0 0,0 0,0 0,0 1,0-1,7 2,-7 0,0 0,1 1,-1 0,0 0,0 0,0 1,-1-1,1 1,-1 0,1 0,-1 0,0 0,0 1,0-1,-1 1,1-1,3 9,-3-7,0 0,0 0,0 1,-1-1,1 1,-1 0,-1-1,1 1,-1 0,1 11,-3-13,1 0,-1 0,0-1,0 1,-1 0,1-1,-1 1,0-1,0 1,0-1,0 0,0 0,-1 0,1 0,-1 0,0 0,-5 3,-2 2,0 1,1 1,0-1,0 1,-11 18,17-24,1 1,0-1,0 1,0 0,1 0,-1 0,1-1,1 1,-1 0,0 1,1-1,0 0,0 0,1 0,0 0,-1 0,4 9,-3-11,0-1,0 1,1-1,-1 1,1-1,-1 1,1-1,0 0,0 0,0 0,0 0,0 0,0 0,0 0,1-1,-1 1,1-1,-1 0,1 0,0 0,-1 0,1 0,3 0,8 2,-1-2,1 0,25-1,12 1,-46 0,150 28,-132-23</inkml:trace>
  <inkml:trace contextRef="#ctx0" brushRef="#br0" timeOffset="16">9447 2747,'0'1257,"0"-1228</inkml:trace>
  <inkml:trace contextRef="#ctx0" brushRef="#br0" timeOffset="17">9817 2800,'4'0,"6"0,7 0,-1 0</inkml:trace>
  <inkml:trace contextRef="#ctx0" brushRef="#br0" timeOffset="18">9791 2800,'-690'0,"668"0</inkml:trace>
  <inkml:trace contextRef="#ctx0" brushRef="#br0" timeOffset="19">9976 3779,'0'5,"0"5,-5 2,-1 3,0 3,1 4,2 2,1 1,1 2,0 0,1 0,1 0,-1 0,0-1,0 1,0 0,1-5</inkml:trace>
  <inkml:trace contextRef="#ctx0" brushRef="#br0" timeOffset="20">7568 3541,'424'0,"-420"0,-1 0,0 0,0 0,0 0,0 1,1-1,-1 1,0 0,0 0,0 0,0 0,0 1,-1-1,1 1,0-1,3 4,-5-3,0-1,-1 1,1 0,0-1,-1 1,1 0,-1 0,0-1,1 1,-1 0,0 0,0 0,0 0,0-1,-1 1,1 0,-1 0,1 0,-1-1,1 1,-1 0,0-1,0 1,0 0,0-1,0 1,0-1,0 0,-3 3,-20 26,-36 36,-7 7,-50 44,56-63,50-47,1 0,1 1,-1 1,1 0,1 0,0 0,0 1,-9 16,16-25,0 0,1 0,-1 1,1-1,-1 0,1 0,0 0,-1 0,1 1,0-1,0 0,0 0,0 0,0 1,0-1,0 0,0 0,0 0,1 1,-1-1,1 0,-1 0,0 0,1 0,0 0,0 1,1 0,0 0,0-1,0 1,0-1,0 1,0-1,1 0,-1 0,0 0,1 0,-1-1,3 2,11 0,0 0,0-1,20 0,-28-1,156 12,1 0,-141-12</inkml:trace>
  <inkml:trace contextRef="#ctx0" brushRef="#br0" timeOffset="21">8309 4017,'0'5,"-5"5,-1 11,0 15,-3 10,-5 11,-4 5,1 0,3 0,4-7,4-8,2-8,3-6,1-8</inkml:trace>
  <inkml:trace contextRef="#ctx0" brushRef="#br0" timeOffset="22">6033 4229,'0'5,"0"1</inkml:trace>
  <inkml:trace contextRef="#ctx0" brushRef="#br0" timeOffset="23">5584 3779,'10'2,"1"0,-1 1,0 0,1 1,-1 0,0 0,18 12,-2-3,-4-1,-1 0,0 1,0 1,-2 1,34 32,72 99,-113-131,13 13,-19-22,0 0,0 1,0 0,-1 0,0 1,-1-1,5 10,-8-14,-1-1,1 1,-1-1,0 1,0-1,0 1,0-1,0 1,0 0,-1-1,1 1,-1-1,0 1,0-1,0 0,0 1,0-1,0 0,-1 0,1 0,-1 1,1-1,-1-1,0 1,0 0,0 0,0-1,0 1,-4 1,-10 7,13-9,0 0,0 0,1 1,-1-1,0 1,1-1,0 1,-1 0,1 0,0 0,0 0,0 1,0-1,0 0,1 1,-1-1,-2 6,4-7,0 0,0-1,0 1,1-1,-1 1,0 0,0-1,0 1,0-1,1 1,-1 0,0-1,0 1,1-1,-1 1,0-1,1 1,-1-1,1 1,-1-1,1 0,-1 1,1-1,-1 0,1 1,-1-1,1 0,-1 1,1-1,1 0,22-1,21-18,-28 7,-1-1,0-1,-1 0,-1-1,0 0,-1-1,-1-1,-1 0,15-28,-12 21,0 0,2 2,1 0,29-30,-41 46,0 1,0-1,0-1,-1 1,0 0,0-1,-1 0,1 0,-2 0,1 0,-1-1,0 1,0-1,0-11,0-11,-1-1,-5-42,1 4,1 54,1 0,-2 0,0 0,-1 1,0-1,-1 1,-1 0,0 0,-1 1,0-1,-1 2,-1-1,0 1,0 0,-2 1,1 0,-1 1,-1 0,0 1,0 0,0 1,-2 0,1 1,0 0,-22-6,-57-23,62 23,-1 1,-54-13,-24 1,88 22</inkml:trace>
  <inkml:trace contextRef="#ctx0" brushRef="#br0" timeOffset="24">6589 4255,'1'16,"0"0,2 0,5 20,5 37,0 15,-8-63,-1 0,1 26,-4-30,-2 0,-3 31,-2-25</inkml:trace>
  <inkml:trace contextRef="#ctx0" brushRef="#br0" timeOffset="25">3917 3408,'0'828,"1"-802,1-1,8 31,-5-29,3 45,-8 113,0-163</inkml:trace>
  <inkml:trace contextRef="#ctx0" brushRef="#br0" timeOffset="26">3970 3408,'94'2,"103"-4,-171-2,-22 3,0 1,1-1,-1 0,1 1,-1 0,0 0,1 1,7 1,-10-1,0 0,0 0,0 0,0 1,-1-1,1 0,0 1,-1 0,1-1,-1 1,0 0,0 0,1 0,-1 0,0 0,0 0,-1 0,1 0,0 0,-1 0,1 5,2 7,0 1,-2 0,0 0,0 0,-1 0,-1 0,-3 18,-5 9,-17 48,24-82,-2 10,1 1,0-1,0 30,2-23,-7 45,7-64,-1 0,1 0,-1 0,-1-1,1 1,-1-1,0 1,0-1,0 0,-1 0,0 0,-5 5,5-7,0 0,0 0,0 0,-1-1,1 0,0 0,-1 0,0 0,1-1,-1 0,0 0,0 0,-5 0,-70-3,67 0,-1 1,1 0,-1 2,-26 2,23 3</inkml:trace>
  <inkml:trace contextRef="#ctx0" brushRef="#br0" timeOffset="27">4658 3990,'6'1,"1"-1,0 1,0 0,0 1,0 0,-1 0,1 0,-1 1,0 0,1 0,5 5,8 6,33 31,4 2,-53-44,0 1,0-1,0 1,-1 0,1 0,-1 0,0 0,0 0,0 1,0 0,-1-1,0 1,0 0,0 0,-1 0,1 0,-1 0,0 1,-1-1,0 0,1 0,-1 1,-1-1,1 0,-1 0,0 1,0-1,-1 0,0 0,1 0,-2 0,1-1,0 1,-1 0,0-1,0 0,0 0,-1 0,0 0,1 0,-1-1,0 1,-1-1,-5 4,-118 61,104-50,24-17,0-1,0 0,-1 1,1-1,0 1,0-1,0 1,0-1,0 1,-1 0,1-1,0 1,0-1,1 1,-1-1,0 1,0-1,0 1,0-1,0 1,0-1,1 1,-1-1,0 1,0-1,1 0,-1 1,1 0,3 2,1 1,-1-1,1-1,-1 1,1-1,0 1,6 1,10 5,-4-3,0 0,1-1,-1 0,1-2,0 0,0-1,0-1,25-1,-15 0,1 2,35 6,-25-2,0-1,68 0,-85-5</inkml:trace>
</inkml: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A36FA-BB7C-4502-A395-C53E86A7DEC8}">
  <sheetPr>
    <tabColor theme="9"/>
  </sheetPr>
  <dimension ref="A1:AM28"/>
  <sheetViews>
    <sheetView zoomScaleNormal="100" workbookViewId="0">
      <selection activeCell="W10" sqref="W10"/>
    </sheetView>
  </sheetViews>
  <sheetFormatPr defaultRowHeight="15" x14ac:dyDescent="0.25"/>
  <cols>
    <col min="1" max="1" width="9.28515625" bestFit="1" customWidth="1"/>
    <col min="2" max="2" width="26.42578125" customWidth="1"/>
    <col min="3" max="4" width="8.85546875" customWidth="1"/>
    <col min="5" max="6" width="9.28515625" bestFit="1" customWidth="1"/>
    <col min="7" max="7" width="9.28515625" customWidth="1"/>
    <col min="8" max="8" width="11.5703125" bestFit="1" customWidth="1"/>
    <col min="9" max="9" width="11.42578125" bestFit="1" customWidth="1"/>
    <col min="10" max="12" width="9.28515625" bestFit="1" customWidth="1"/>
    <col min="14" max="15" width="9.28515625" bestFit="1" customWidth="1"/>
    <col min="26" max="27" width="9.28515625" bestFit="1" customWidth="1"/>
  </cols>
  <sheetData>
    <row r="1" spans="1:35" ht="51" x14ac:dyDescent="0.25">
      <c r="A1" s="8"/>
      <c r="B1" s="20" t="s">
        <v>0</v>
      </c>
      <c r="C1" s="8" t="s">
        <v>1</v>
      </c>
      <c r="D1" s="8" t="s">
        <v>21</v>
      </c>
      <c r="E1" s="8" t="s">
        <v>2</v>
      </c>
      <c r="F1" s="8" t="s">
        <v>3</v>
      </c>
      <c r="G1" s="8" t="s">
        <v>35</v>
      </c>
      <c r="H1" s="1" t="s">
        <v>34</v>
      </c>
      <c r="I1" s="8" t="s">
        <v>4</v>
      </c>
      <c r="J1" s="8" t="s">
        <v>5</v>
      </c>
      <c r="K1" s="8" t="s">
        <v>6</v>
      </c>
      <c r="L1" s="8" t="s">
        <v>7</v>
      </c>
      <c r="M1" s="25" t="s">
        <v>8</v>
      </c>
      <c r="N1" s="24" t="s">
        <v>28</v>
      </c>
      <c r="O1" s="24" t="s">
        <v>31</v>
      </c>
      <c r="P1" s="12" t="s">
        <v>29</v>
      </c>
      <c r="Q1" s="12" t="s">
        <v>30</v>
      </c>
      <c r="R1" t="s">
        <v>36</v>
      </c>
      <c r="AB1" t="s">
        <v>25</v>
      </c>
      <c r="AC1" t="s">
        <v>26</v>
      </c>
      <c r="AD1" s="46" t="s">
        <v>27</v>
      </c>
    </row>
    <row r="2" spans="1:35" ht="42" customHeight="1" x14ac:dyDescent="0.25">
      <c r="A2" s="8">
        <v>0</v>
      </c>
      <c r="B2" s="21" t="s">
        <v>11</v>
      </c>
      <c r="C2" s="9">
        <v>9.8750979999999995</v>
      </c>
      <c r="D2" s="9">
        <f>C2*10</f>
        <v>98.750979999999998</v>
      </c>
      <c r="E2" s="9">
        <v>323.14</v>
      </c>
      <c r="F2" s="9">
        <v>0.99935200000000002</v>
      </c>
      <c r="G2" s="9">
        <f>F2</f>
        <v>0.99935200000000002</v>
      </c>
      <c r="H2" s="2">
        <v>138.341869</v>
      </c>
      <c r="I2" s="15">
        <v>138.341869</v>
      </c>
      <c r="J2" s="9">
        <v>0.13540199999999999</v>
      </c>
      <c r="K2" s="9">
        <v>0.50883400000000001</v>
      </c>
      <c r="L2" s="9">
        <v>0.76809099999999997</v>
      </c>
      <c r="M2" s="26">
        <v>0.68852199999999997</v>
      </c>
      <c r="N2" s="30">
        <f>P2</f>
        <v>138.341869</v>
      </c>
      <c r="O2" s="31">
        <f>N2/$N$12</f>
        <v>1.7787065595958345</v>
      </c>
      <c r="P2" s="29">
        <v>138.341869</v>
      </c>
      <c r="Q2" s="32">
        <f t="shared" ref="Q2:Q3" si="0">P2/$P$12</f>
        <v>1.036493767781421</v>
      </c>
      <c r="R2">
        <f>H2*G2</f>
        <v>138.25222346888802</v>
      </c>
      <c r="AB2" s="13">
        <v>9.8750979999999995</v>
      </c>
      <c r="AC2" s="3">
        <v>1.4192364316747383</v>
      </c>
      <c r="AD2" s="46"/>
    </row>
    <row r="3" spans="1:35" ht="55.5" customHeight="1" x14ac:dyDescent="0.25">
      <c r="A3" s="8">
        <v>1</v>
      </c>
      <c r="B3" s="21" t="s">
        <v>12</v>
      </c>
      <c r="C3" s="9">
        <v>8.7889759999999999</v>
      </c>
      <c r="D3" s="9">
        <f t="shared" ref="D3:D12" si="1">C3*10</f>
        <v>87.889759999999995</v>
      </c>
      <c r="E3" s="9">
        <v>323.14</v>
      </c>
      <c r="F3" s="9">
        <v>0.94683700000000004</v>
      </c>
      <c r="G3" s="9">
        <f>F3*G2</f>
        <v>0.94622344962400007</v>
      </c>
      <c r="H3" s="2">
        <v>135.423597</v>
      </c>
      <c r="I3" s="15">
        <v>135.423597</v>
      </c>
      <c r="J3" s="9">
        <v>12.729552</v>
      </c>
      <c r="K3" s="9">
        <v>0.46790399999999999</v>
      </c>
      <c r="L3" s="9">
        <v>0.78332299999999999</v>
      </c>
      <c r="M3" s="26">
        <v>0.69561399999999995</v>
      </c>
      <c r="N3" s="30">
        <f>P3</f>
        <v>135.423597</v>
      </c>
      <c r="O3" s="31">
        <f t="shared" ref="O3:O12" si="2">N3/$N$12</f>
        <v>1.7411853840717069</v>
      </c>
      <c r="P3" s="29">
        <v>135.423597</v>
      </c>
      <c r="Q3" s="32">
        <f t="shared" si="0"/>
        <v>1.0146293043145365</v>
      </c>
      <c r="R3">
        <f t="shared" ref="R3:R11" si="3">H3*G3</f>
        <v>128.1409831138304</v>
      </c>
      <c r="AB3" s="13">
        <v>8.7889759999999999</v>
      </c>
      <c r="AC3" s="3">
        <v>1.3883787135709178</v>
      </c>
      <c r="AD3" s="46"/>
    </row>
    <row r="4" spans="1:35" ht="42.75" customHeight="1" x14ac:dyDescent="0.25">
      <c r="A4" s="8">
        <v>2</v>
      </c>
      <c r="B4" s="21" t="s">
        <v>13</v>
      </c>
      <c r="C4" s="9">
        <v>7.7028540000000003</v>
      </c>
      <c r="D4" s="9">
        <f t="shared" si="1"/>
        <v>77.028540000000007</v>
      </c>
      <c r="E4" s="9">
        <v>323.14</v>
      </c>
      <c r="F4" s="9">
        <v>0.94567800000000002</v>
      </c>
      <c r="G4" s="9">
        <f t="shared" ref="G4:G11" si="4">F4*G3</f>
        <v>0.8948226993935251</v>
      </c>
      <c r="H4" s="2">
        <v>139.94935899999999</v>
      </c>
      <c r="I4" s="9">
        <f>P4</f>
        <v>132.67147867106226</v>
      </c>
      <c r="J4" s="9">
        <v>15.157303000000001</v>
      </c>
      <c r="K4" s="9">
        <v>0.42430499999999999</v>
      </c>
      <c r="L4" s="9">
        <v>0.80001599999999995</v>
      </c>
      <c r="M4" s="26">
        <v>0.70275600000000005</v>
      </c>
      <c r="N4" s="31">
        <f t="shared" ref="N4:N11" si="5">N3*F3</f>
        <v>128.224072312689</v>
      </c>
      <c r="O4" s="31">
        <f t="shared" si="2"/>
        <v>1.6486187454983028</v>
      </c>
      <c r="P4" s="32">
        <f t="shared" ref="P4:P11" si="6">(D3*I3) * (F3*K4*E4) / (D4*K3 * E3)</f>
        <v>132.67147867106226</v>
      </c>
      <c r="Q4" s="32">
        <f>P4/$P$12</f>
        <v>0.99400970797135713</v>
      </c>
      <c r="R4">
        <f t="shared" si="3"/>
        <v>125.22986319877351</v>
      </c>
      <c r="AB4" s="13">
        <v>7.7028540000000003</v>
      </c>
      <c r="AC4" s="3">
        <v>1.3584827775156243</v>
      </c>
      <c r="AD4" s="46"/>
    </row>
    <row r="5" spans="1:35" ht="39.75" customHeight="1" x14ac:dyDescent="0.25">
      <c r="A5" s="8">
        <v>3</v>
      </c>
      <c r="B5" s="21" t="s">
        <v>14</v>
      </c>
      <c r="C5" s="9">
        <v>6.6167319999999998</v>
      </c>
      <c r="D5" s="9">
        <f t="shared" si="1"/>
        <v>66.167320000000004</v>
      </c>
      <c r="E5" s="9">
        <v>323.14</v>
      </c>
      <c r="F5" s="9">
        <v>0.94418599999999997</v>
      </c>
      <c r="G5" s="9">
        <f t="shared" si="4"/>
        <v>0.8448790652495749</v>
      </c>
      <c r="H5" s="2">
        <v>144.81564299999999</v>
      </c>
      <c r="I5" s="9">
        <f>P5</f>
        <v>130.03248178077999</v>
      </c>
      <c r="J5" s="9">
        <v>18.538464999999999</v>
      </c>
      <c r="K5" s="9">
        <v>0.377747</v>
      </c>
      <c r="L5" s="9">
        <v>0.81803400000000004</v>
      </c>
      <c r="M5" s="26">
        <v>0.70996400000000004</v>
      </c>
      <c r="N5" s="31">
        <f t="shared" si="5"/>
        <v>121.25868425651912</v>
      </c>
      <c r="O5" s="31">
        <f t="shared" si="2"/>
        <v>1.5590624780053439</v>
      </c>
      <c r="P5" s="32">
        <f t="shared" si="6"/>
        <v>130.03248178077999</v>
      </c>
      <c r="Q5" s="32">
        <f t="shared" ref="Q5:Q12" si="7">P5/$P$12</f>
        <v>0.97423764728037343</v>
      </c>
      <c r="R5">
        <f t="shared" si="3"/>
        <v>122.35170509135614</v>
      </c>
      <c r="AB5" s="13">
        <v>6.6167320000000007</v>
      </c>
      <c r="AC5" s="3">
        <v>1.329342532559977</v>
      </c>
      <c r="AD5" s="46"/>
    </row>
    <row r="6" spans="1:35" ht="30.75" customHeight="1" x14ac:dyDescent="0.25">
      <c r="A6" s="8">
        <v>4</v>
      </c>
      <c r="B6" s="21" t="s">
        <v>15</v>
      </c>
      <c r="C6" s="9">
        <v>5.5306100000000002</v>
      </c>
      <c r="D6" s="9">
        <f t="shared" si="1"/>
        <v>55.306100000000001</v>
      </c>
      <c r="E6" s="9">
        <v>323.14</v>
      </c>
      <c r="F6" s="9">
        <v>0.94218900000000005</v>
      </c>
      <c r="G6" s="9">
        <f t="shared" si="4"/>
        <v>0.79603576160843181</v>
      </c>
      <c r="H6" s="2">
        <v>150.07097999999999</v>
      </c>
      <c r="I6" s="9">
        <f>P6</f>
        <v>127.49986207939885</v>
      </c>
      <c r="J6" s="9">
        <v>23.512172</v>
      </c>
      <c r="K6" s="9">
        <v>0.32789200000000002</v>
      </c>
      <c r="L6" s="9">
        <v>0.83724900000000002</v>
      </c>
      <c r="M6" s="26">
        <v>0.71727099999999999</v>
      </c>
      <c r="N6" s="31">
        <f t="shared" si="5"/>
        <v>114.49075205342575</v>
      </c>
      <c r="O6" s="31">
        <f t="shared" si="2"/>
        <v>1.4720449648579537</v>
      </c>
      <c r="P6" s="32">
        <f t="shared" si="6"/>
        <v>127.49986207939885</v>
      </c>
      <c r="Q6" s="32">
        <f t="shared" si="7"/>
        <v>0.95526259254374846</v>
      </c>
      <c r="R6">
        <f t="shared" si="3"/>
        <v>119.46186685962373</v>
      </c>
      <c r="AB6" s="13">
        <v>5.5306100000000002</v>
      </c>
      <c r="AC6" s="3">
        <v>1.3006809702582669</v>
      </c>
      <c r="AD6" s="46"/>
    </row>
    <row r="7" spans="1:35" ht="48.75" customHeight="1" x14ac:dyDescent="0.25">
      <c r="A7" s="8">
        <v>5</v>
      </c>
      <c r="B7" s="21" t="s">
        <v>16</v>
      </c>
      <c r="C7" s="9">
        <v>4.4444879999999998</v>
      </c>
      <c r="D7" s="9">
        <f t="shared" si="1"/>
        <v>44.444879999999998</v>
      </c>
      <c r="E7" s="9">
        <v>323.14</v>
      </c>
      <c r="F7" s="9">
        <v>0.93932599999999999</v>
      </c>
      <c r="G7" s="9">
        <f t="shared" si="4"/>
        <v>0.74773708780860182</v>
      </c>
      <c r="H7" s="2">
        <v>155.77547899999999</v>
      </c>
      <c r="I7" s="9">
        <f>P7</f>
        <v>125.07531402484655</v>
      </c>
      <c r="J7" s="9">
        <v>31.451965999999999</v>
      </c>
      <c r="K7" s="9">
        <v>0.27434900000000001</v>
      </c>
      <c r="L7" s="9">
        <v>0.85755899999999996</v>
      </c>
      <c r="M7" s="26">
        <v>0.724742</v>
      </c>
      <c r="N7" s="31">
        <f t="shared" si="5"/>
        <v>107.87192718646516</v>
      </c>
      <c r="O7" s="31">
        <f t="shared" si="2"/>
        <v>1.3869445733945505</v>
      </c>
      <c r="P7" s="32">
        <f t="shared" si="6"/>
        <v>125.07531402484655</v>
      </c>
      <c r="Q7" s="32">
        <f t="shared" si="7"/>
        <v>0.93709723908716025</v>
      </c>
      <c r="R7">
        <f t="shared" si="3"/>
        <v>116.47910301945001</v>
      </c>
      <c r="AB7" s="13">
        <v>4.4444879999999998</v>
      </c>
      <c r="AC7" s="3">
        <v>1.2720575760063662</v>
      </c>
      <c r="AD7" s="46"/>
    </row>
    <row r="8" spans="1:35" ht="40.5" customHeight="1" x14ac:dyDescent="0.25">
      <c r="A8" s="8">
        <v>6</v>
      </c>
      <c r="B8" s="21" t="s">
        <v>17</v>
      </c>
      <c r="C8" s="9">
        <v>3.3583660000000002</v>
      </c>
      <c r="D8" s="9">
        <f t="shared" si="1"/>
        <v>33.583660000000002</v>
      </c>
      <c r="E8" s="9">
        <v>323.14</v>
      </c>
      <c r="F8" s="9">
        <v>0.93470600000000004</v>
      </c>
      <c r="G8" s="9">
        <f t="shared" si="4"/>
        <v>0.69891434239722705</v>
      </c>
      <c r="H8" s="2">
        <v>162.00097500000001</v>
      </c>
      <c r="I8" s="9">
        <f t="shared" ref="I8:I11" si="8">P8</f>
        <v>122.78547470430027</v>
      </c>
      <c r="J8" s="9">
        <v>45.908934000000002</v>
      </c>
      <c r="K8" s="9">
        <v>0.21665499999999999</v>
      </c>
      <c r="L8" s="9">
        <v>0.87892800000000004</v>
      </c>
      <c r="M8" s="26">
        <v>0.73252700000000004</v>
      </c>
      <c r="N8" s="31">
        <f t="shared" si="5"/>
        <v>101.32690587635356</v>
      </c>
      <c r="O8" s="31">
        <f t="shared" si="2"/>
        <v>1.3027930983484095</v>
      </c>
      <c r="P8" s="32">
        <f t="shared" si="6"/>
        <v>122.78547470430027</v>
      </c>
      <c r="Q8" s="32">
        <f t="shared" si="7"/>
        <v>0.91994115899280304</v>
      </c>
      <c r="R8">
        <f t="shared" si="3"/>
        <v>113.22480490983463</v>
      </c>
      <c r="AB8" s="13">
        <v>3.3583660000000006</v>
      </c>
      <c r="AC8" s="3">
        <v>1.2426174335640801</v>
      </c>
      <c r="AD8" s="46"/>
    </row>
    <row r="9" spans="1:35" ht="33.75" customHeight="1" x14ac:dyDescent="0.25">
      <c r="A9" s="8">
        <v>7</v>
      </c>
      <c r="B9" s="21" t="s">
        <v>18</v>
      </c>
      <c r="C9" s="9">
        <v>2.2722440000000002</v>
      </c>
      <c r="D9" s="9">
        <f t="shared" si="1"/>
        <v>22.722440000000002</v>
      </c>
      <c r="E9" s="9">
        <v>323.14</v>
      </c>
      <c r="F9" s="9">
        <v>0.92551600000000001</v>
      </c>
      <c r="G9" s="9">
        <f t="shared" si="4"/>
        <v>0.64685640651811205</v>
      </c>
      <c r="H9" s="2">
        <v>168.79361499999999</v>
      </c>
      <c r="I9" s="9">
        <f t="shared" si="8"/>
        <v>120.76790701288876</v>
      </c>
      <c r="J9" s="9">
        <v>79.400073000000006</v>
      </c>
      <c r="K9" s="9">
        <v>0.15425</v>
      </c>
      <c r="L9" s="9">
        <v>0.90159999999999996</v>
      </c>
      <c r="M9" s="26">
        <v>0.74104400000000004</v>
      </c>
      <c r="N9" s="31">
        <f t="shared" si="5"/>
        <v>94.710866884062938</v>
      </c>
      <c r="O9" s="31">
        <f t="shared" si="2"/>
        <v>1.2177285257848485</v>
      </c>
      <c r="P9" s="32">
        <f t="shared" si="6"/>
        <v>120.76790701288876</v>
      </c>
      <c r="Q9" s="32">
        <f t="shared" si="7"/>
        <v>0.9048250097507744</v>
      </c>
      <c r="R9">
        <f t="shared" si="3"/>
        <v>109.18523124210169</v>
      </c>
      <c r="AB9" s="13">
        <v>2.2722440000000002</v>
      </c>
      <c r="AC9" s="3">
        <v>1.2101730958457293</v>
      </c>
      <c r="AD9" s="46"/>
    </row>
    <row r="10" spans="1:35" ht="37.5" customHeight="1" x14ac:dyDescent="0.25">
      <c r="A10" s="18">
        <v>8</v>
      </c>
      <c r="B10" s="22" t="s">
        <v>19</v>
      </c>
      <c r="C10" s="19">
        <v>1.1861219999999999</v>
      </c>
      <c r="D10" s="19">
        <f t="shared" si="1"/>
        <v>11.861219999999999</v>
      </c>
      <c r="E10" s="19">
        <v>323.14</v>
      </c>
      <c r="F10" s="19">
        <v>0.89744699999999999</v>
      </c>
      <c r="G10" s="9">
        <f t="shared" si="4"/>
        <v>0.58051934146046014</v>
      </c>
      <c r="H10" s="2">
        <v>175.67224400000001</v>
      </c>
      <c r="I10" s="19">
        <f t="shared" si="8"/>
        <v>119.96656251580204</v>
      </c>
      <c r="J10" s="19">
        <v>215.546561</v>
      </c>
      <c r="K10" s="19">
        <v>8.6421999999999999E-2</v>
      </c>
      <c r="L10" s="19">
        <v>0.92794699999999997</v>
      </c>
      <c r="M10" s="27">
        <v>0.75207400000000002</v>
      </c>
      <c r="N10" s="31">
        <f t="shared" si="5"/>
        <v>87.656422675070388</v>
      </c>
      <c r="O10" s="31">
        <f t="shared" si="2"/>
        <v>1.1270272342702896</v>
      </c>
      <c r="P10" s="33">
        <f t="shared" si="6"/>
        <v>119.96656251580204</v>
      </c>
      <c r="Q10" s="33">
        <f t="shared" si="7"/>
        <v>0.89882112543809156</v>
      </c>
      <c r="R10">
        <f t="shared" si="3"/>
        <v>101.98113539976127</v>
      </c>
      <c r="AB10" s="13">
        <v>1.1861219999999999</v>
      </c>
      <c r="AC10" s="3">
        <v>1.165673704984908</v>
      </c>
      <c r="AD10" s="46"/>
    </row>
    <row r="11" spans="1:35" s="6" customFormat="1" ht="37.5" customHeight="1" x14ac:dyDescent="0.25">
      <c r="A11" s="11">
        <v>9</v>
      </c>
      <c r="B11" s="23" t="s">
        <v>20</v>
      </c>
      <c r="C11" s="10">
        <v>0.1</v>
      </c>
      <c r="D11" s="10">
        <f t="shared" si="1"/>
        <v>1</v>
      </c>
      <c r="E11" s="10">
        <v>323.14</v>
      </c>
      <c r="F11" s="10">
        <v>0.69476700000000002</v>
      </c>
      <c r="G11" s="9">
        <f t="shared" si="4"/>
        <v>0.40332568130845953</v>
      </c>
      <c r="H11" s="2">
        <v>170.52367899999999</v>
      </c>
      <c r="I11" s="10">
        <f t="shared" si="8"/>
        <v>134.99887970306261</v>
      </c>
      <c r="J11" s="10">
        <v>8089.6172829999996</v>
      </c>
      <c r="K11" s="10">
        <v>9.136E-3</v>
      </c>
      <c r="L11" s="10">
        <v>0.98649600000000004</v>
      </c>
      <c r="M11" s="28">
        <v>0.78235399999999999</v>
      </c>
      <c r="N11" s="31">
        <f t="shared" si="5"/>
        <v>78.666993560473898</v>
      </c>
      <c r="O11" s="31">
        <f t="shared" si="2"/>
        <v>1.0114472103141687</v>
      </c>
      <c r="P11" s="34">
        <f t="shared" si="6"/>
        <v>134.99887970306261</v>
      </c>
      <c r="Q11" s="34">
        <f t="shared" si="7"/>
        <v>1.0114472103141685</v>
      </c>
      <c r="R11">
        <f t="shared" si="3"/>
        <v>68.776579011900054</v>
      </c>
      <c r="AB11" s="14">
        <v>0.1</v>
      </c>
      <c r="AC11" s="3">
        <v>1.0154634897187065</v>
      </c>
      <c r="AD11" s="46"/>
    </row>
    <row r="12" spans="1:35" ht="39" customHeight="1" x14ac:dyDescent="0.25">
      <c r="A12" s="8">
        <v>10</v>
      </c>
      <c r="B12" s="21" t="s">
        <v>9</v>
      </c>
      <c r="C12" s="9">
        <v>0.1</v>
      </c>
      <c r="D12" s="9">
        <f t="shared" si="1"/>
        <v>1</v>
      </c>
      <c r="E12" s="9">
        <v>293.14</v>
      </c>
      <c r="F12" s="9" t="s">
        <v>10</v>
      </c>
      <c r="G12" s="9">
        <f>G11</f>
        <v>0.40332568130845953</v>
      </c>
      <c r="H12" s="2">
        <v>242.66122999999999</v>
      </c>
      <c r="I12" s="9">
        <v>242.66122999999999</v>
      </c>
      <c r="J12" s="9" t="s">
        <v>10</v>
      </c>
      <c r="K12" s="9">
        <v>9.9570000000000006E-3</v>
      </c>
      <c r="L12" s="9">
        <v>0.98512999999999995</v>
      </c>
      <c r="M12" s="26">
        <v>0.79131399999999996</v>
      </c>
      <c r="N12" s="31">
        <f>N11*K12*E12/(K11*E11)</f>
        <v>77.776667687915122</v>
      </c>
      <c r="O12" s="31">
        <f t="shared" si="2"/>
        <v>1</v>
      </c>
      <c r="P12" s="32">
        <f>I11*K12*E12/(K11*E11)</f>
        <v>133.47100899228366</v>
      </c>
      <c r="Q12" s="32">
        <f t="shared" si="7"/>
        <v>1</v>
      </c>
      <c r="AC12" s="3"/>
    </row>
    <row r="14" spans="1:35" x14ac:dyDescent="0.25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</row>
    <row r="15" spans="1:35" ht="53.25" customHeight="1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</row>
    <row r="16" spans="1:3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Z16" s="47" t="s">
        <v>33</v>
      </c>
      <c r="AA16" s="47"/>
      <c r="AB16" s="47"/>
      <c r="AC16" s="47"/>
      <c r="AD16" s="47"/>
      <c r="AE16" s="47"/>
      <c r="AF16" s="47"/>
      <c r="AG16" s="47"/>
      <c r="AH16" s="47"/>
      <c r="AI16" s="47"/>
    </row>
    <row r="17" spans="1:39" ht="25.5" x14ac:dyDescent="0.25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X17" s="1"/>
      <c r="Y17" s="1" t="s">
        <v>0</v>
      </c>
      <c r="Z17" s="1" t="s">
        <v>1</v>
      </c>
      <c r="AA17" s="1" t="s">
        <v>2</v>
      </c>
      <c r="AB17" s="1" t="s">
        <v>3</v>
      </c>
      <c r="AC17" s="1" t="s">
        <v>99</v>
      </c>
      <c r="AD17" s="1" t="s">
        <v>4</v>
      </c>
      <c r="AE17" s="1" t="s">
        <v>5</v>
      </c>
      <c r="AF17" s="1" t="s">
        <v>6</v>
      </c>
      <c r="AG17" s="1" t="s">
        <v>7</v>
      </c>
      <c r="AH17" s="1" t="s">
        <v>8</v>
      </c>
      <c r="AI17" s="1" t="s">
        <v>103</v>
      </c>
      <c r="AJ17" s="1" t="s">
        <v>105</v>
      </c>
      <c r="AL17" s="52" t="s">
        <v>104</v>
      </c>
      <c r="AM17" s="52" t="s">
        <v>106</v>
      </c>
    </row>
    <row r="18" spans="1:39" ht="38.25" x14ac:dyDescent="0.25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X18" s="1">
        <v>0</v>
      </c>
      <c r="Y18" s="2" t="s">
        <v>11</v>
      </c>
      <c r="Z18" s="2">
        <v>9.8750979999999995</v>
      </c>
      <c r="AA18" s="2">
        <v>323.14</v>
      </c>
      <c r="AB18" s="2">
        <v>0.99935200000000002</v>
      </c>
      <c r="AC18" s="2">
        <v>6.4800000000000003E-4</v>
      </c>
      <c r="AD18" s="2">
        <v>138.341869</v>
      </c>
      <c r="AE18" s="2">
        <v>0.13540199999999999</v>
      </c>
      <c r="AF18" s="2">
        <v>0.50883400000000001</v>
      </c>
      <c r="AG18" s="2">
        <v>0.76809099999999997</v>
      </c>
      <c r="AH18" s="2">
        <v>0.68852199999999997</v>
      </c>
      <c r="AI18" s="2">
        <v>138.431568</v>
      </c>
      <c r="AJ18" s="2">
        <v>208.96422699999999</v>
      </c>
      <c r="AL18">
        <f>AD18</f>
        <v>138.341869</v>
      </c>
      <c r="AM18">
        <f>AI18</f>
        <v>138.431568</v>
      </c>
    </row>
    <row r="19" spans="1:39" ht="38.25" x14ac:dyDescent="0.25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X19" s="1">
        <v>1</v>
      </c>
      <c r="Y19" s="2" t="s">
        <v>12</v>
      </c>
      <c r="Z19" s="2">
        <v>8.7889759999999999</v>
      </c>
      <c r="AA19" s="2">
        <v>323.14</v>
      </c>
      <c r="AB19" s="2">
        <v>0.94683700000000004</v>
      </c>
      <c r="AC19" s="2">
        <v>5.3163000000000002E-2</v>
      </c>
      <c r="AD19" s="2">
        <v>135.423597</v>
      </c>
      <c r="AE19" s="2">
        <v>12.729552</v>
      </c>
      <c r="AF19" s="2">
        <v>0.46790399999999999</v>
      </c>
      <c r="AG19" s="2">
        <v>0.78332299999999999</v>
      </c>
      <c r="AH19" s="2">
        <v>0.69561399999999995</v>
      </c>
      <c r="AI19" s="2">
        <v>143.027368</v>
      </c>
      <c r="AJ19" s="2">
        <v>239.443634</v>
      </c>
      <c r="AL19">
        <f>AI19*AB18*AB19</f>
        <v>135.3358495396013</v>
      </c>
      <c r="AM19">
        <f>AI19*AB19*AB18</f>
        <v>135.33584953960133</v>
      </c>
    </row>
    <row r="20" spans="1:39" ht="38.25" x14ac:dyDescent="0.25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X20" s="1">
        <v>2</v>
      </c>
      <c r="Y20" s="2" t="s">
        <v>13</v>
      </c>
      <c r="Z20" s="2">
        <v>7.7028540000000003</v>
      </c>
      <c r="AA20" s="2">
        <v>323.14</v>
      </c>
      <c r="AB20" s="2">
        <v>0.94567800000000002</v>
      </c>
      <c r="AC20" s="2">
        <v>5.4322000000000002E-2</v>
      </c>
      <c r="AD20" s="2">
        <v>139.94935899999999</v>
      </c>
      <c r="AE20" s="2">
        <v>15.157303000000001</v>
      </c>
      <c r="AF20" s="2">
        <v>0.42430499999999999</v>
      </c>
      <c r="AG20" s="2">
        <v>0.80001599999999995</v>
      </c>
      <c r="AH20" s="2">
        <v>0.70275600000000005</v>
      </c>
      <c r="AI20" s="2">
        <v>147.98835199999999</v>
      </c>
      <c r="AJ20" s="2">
        <v>279.02800100000002</v>
      </c>
      <c r="AL20">
        <f>AI20*AB19</f>
        <v>140.120847242624</v>
      </c>
      <c r="AM20">
        <f t="shared" ref="AM20:AM27" si="9">AI20*AB20*AB19</f>
        <v>132.50920257871019</v>
      </c>
    </row>
    <row r="21" spans="1:39" ht="38.25" x14ac:dyDescent="0.25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X21" s="1">
        <v>3</v>
      </c>
      <c r="Y21" s="2" t="s">
        <v>14</v>
      </c>
      <c r="Z21" s="2">
        <v>6.6167319999999998</v>
      </c>
      <c r="AA21" s="2">
        <v>323.14</v>
      </c>
      <c r="AB21" s="2">
        <v>0.94418599999999997</v>
      </c>
      <c r="AC21" s="2">
        <v>5.5814000000000002E-2</v>
      </c>
      <c r="AD21" s="2">
        <v>144.81564299999999</v>
      </c>
      <c r="AE21" s="2">
        <v>18.538464999999999</v>
      </c>
      <c r="AF21" s="2">
        <v>0.377747</v>
      </c>
      <c r="AG21" s="2">
        <v>0.81803400000000004</v>
      </c>
      <c r="AH21" s="2">
        <v>0.70996400000000004</v>
      </c>
      <c r="AI21" s="2">
        <v>153.37622300000001</v>
      </c>
      <c r="AJ21" s="2">
        <v>332.14566100000002</v>
      </c>
      <c r="AL21">
        <f t="shared" ref="AL21:AL26" si="10">AI21*AB20</f>
        <v>145.04451981419402</v>
      </c>
      <c r="AM21">
        <f t="shared" si="9"/>
        <v>136.94900498528457</v>
      </c>
    </row>
    <row r="22" spans="1:39" ht="38.25" x14ac:dyDescent="0.25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X22" s="1">
        <v>4</v>
      </c>
      <c r="Y22" s="2" t="s">
        <v>15</v>
      </c>
      <c r="Z22" s="2">
        <v>5.5306100000000002</v>
      </c>
      <c r="AA22" s="2">
        <v>323.14</v>
      </c>
      <c r="AB22" s="2">
        <v>0.94218900000000005</v>
      </c>
      <c r="AC22" s="2">
        <v>5.7811000000000001E-2</v>
      </c>
      <c r="AD22" s="2">
        <v>150.07097999999999</v>
      </c>
      <c r="AE22" s="2">
        <v>23.512172</v>
      </c>
      <c r="AF22" s="2">
        <v>0.32789200000000002</v>
      </c>
      <c r="AG22" s="2">
        <v>0.83724900000000002</v>
      </c>
      <c r="AH22" s="2">
        <v>0.71727099999999999</v>
      </c>
      <c r="AI22" s="2">
        <v>159.27905899999999</v>
      </c>
      <c r="AJ22" s="2">
        <v>406.70769999999999</v>
      </c>
      <c r="AL22">
        <f t="shared" si="10"/>
        <v>150.38905760097398</v>
      </c>
      <c r="AM22">
        <f t="shared" si="9"/>
        <v>141.69491579200408</v>
      </c>
    </row>
    <row r="23" spans="1:39" ht="38.25" x14ac:dyDescent="0.25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X23" s="1">
        <v>5</v>
      </c>
      <c r="Y23" s="2" t="s">
        <v>16</v>
      </c>
      <c r="Z23" s="2">
        <v>4.4444879999999998</v>
      </c>
      <c r="AA23" s="2">
        <v>323.14</v>
      </c>
      <c r="AB23" s="2">
        <v>0.93932599999999999</v>
      </c>
      <c r="AC23" s="2">
        <v>6.0673999999999999E-2</v>
      </c>
      <c r="AD23" s="2">
        <v>155.77547899999999</v>
      </c>
      <c r="AE23" s="2">
        <v>31.451965999999999</v>
      </c>
      <c r="AF23" s="2">
        <v>0.27434900000000001</v>
      </c>
      <c r="AG23" s="2">
        <v>0.85755899999999996</v>
      </c>
      <c r="AH23" s="2">
        <v>0.724742</v>
      </c>
      <c r="AI23" s="2">
        <v>165.83756099999999</v>
      </c>
      <c r="AJ23" s="2">
        <v>518.37355300000002</v>
      </c>
      <c r="AL23">
        <f t="shared" si="10"/>
        <v>156.25032576102899</v>
      </c>
      <c r="AM23">
        <f t="shared" si="9"/>
        <v>146.76999349580433</v>
      </c>
    </row>
    <row r="24" spans="1:39" ht="38.25" x14ac:dyDescent="0.25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X24" s="1">
        <v>6</v>
      </c>
      <c r="Y24" s="2" t="s">
        <v>17</v>
      </c>
      <c r="Z24" s="2">
        <v>3.3583660000000002</v>
      </c>
      <c r="AA24" s="2">
        <v>323.14</v>
      </c>
      <c r="AB24" s="2">
        <v>0.93470600000000004</v>
      </c>
      <c r="AC24" s="2">
        <v>6.5294000000000005E-2</v>
      </c>
      <c r="AD24" s="2">
        <v>162.00097500000001</v>
      </c>
      <c r="AE24" s="2">
        <v>45.908934000000002</v>
      </c>
      <c r="AF24" s="2">
        <v>0.21665499999999999</v>
      </c>
      <c r="AG24" s="2">
        <v>0.87892800000000004</v>
      </c>
      <c r="AH24" s="2">
        <v>0.73252700000000004</v>
      </c>
      <c r="AI24" s="2">
        <v>173.31751</v>
      </c>
      <c r="AJ24" s="2">
        <v>703.11465699999997</v>
      </c>
      <c r="AL24">
        <f t="shared" si="10"/>
        <v>162.80164339825998</v>
      </c>
      <c r="AM24">
        <f t="shared" si="9"/>
        <v>152.171672894214</v>
      </c>
    </row>
    <row r="25" spans="1:39" ht="51" x14ac:dyDescent="0.25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X25" s="1">
        <v>7</v>
      </c>
      <c r="Y25" s="2" t="s">
        <v>18</v>
      </c>
      <c r="Z25" s="2">
        <v>2.2722440000000002</v>
      </c>
      <c r="AA25" s="2">
        <v>323.14</v>
      </c>
      <c r="AB25" s="2">
        <v>0.92551600000000001</v>
      </c>
      <c r="AC25" s="2">
        <v>7.4483999999999995E-2</v>
      </c>
      <c r="AD25" s="2">
        <v>168.79361499999999</v>
      </c>
      <c r="AE25" s="2">
        <v>79.400073000000006</v>
      </c>
      <c r="AF25" s="2">
        <v>0.15425</v>
      </c>
      <c r="AG25" s="2">
        <v>0.90159999999999996</v>
      </c>
      <c r="AH25" s="2">
        <v>0.74104400000000004</v>
      </c>
      <c r="AI25" s="2">
        <v>182.37779399999999</v>
      </c>
      <c r="AJ25" s="2">
        <v>1066.005564</v>
      </c>
      <c r="AL25">
        <f t="shared" si="10"/>
        <v>170.46961831856399</v>
      </c>
      <c r="AM25">
        <f t="shared" si="9"/>
        <v>157.77235926772408</v>
      </c>
    </row>
    <row r="26" spans="1:39" ht="38.25" x14ac:dyDescent="0.25">
      <c r="A26" s="4"/>
      <c r="B26" s="5"/>
      <c r="C26" s="5"/>
      <c r="D26" s="2"/>
      <c r="E26" s="5"/>
      <c r="F26" s="5"/>
      <c r="G26" s="5"/>
      <c r="H26" s="5"/>
      <c r="I26" s="5"/>
      <c r="J26" s="5"/>
      <c r="K26" s="5"/>
      <c r="L26" s="5"/>
      <c r="X26" s="1">
        <v>8</v>
      </c>
      <c r="Y26" s="2" t="s">
        <v>19</v>
      </c>
      <c r="Z26" s="2">
        <v>1.1861219999999999</v>
      </c>
      <c r="AA26" s="2">
        <v>323.14</v>
      </c>
      <c r="AB26" s="2">
        <v>0.89744699999999999</v>
      </c>
      <c r="AC26" s="2">
        <v>0.10255300000000001</v>
      </c>
      <c r="AD26" s="2">
        <v>175.67224400000001</v>
      </c>
      <c r="AE26" s="2">
        <v>215.546561</v>
      </c>
      <c r="AF26" s="2">
        <v>8.6421999999999999E-2</v>
      </c>
      <c r="AG26" s="2">
        <v>0.92794699999999997</v>
      </c>
      <c r="AH26" s="2">
        <v>0.75207400000000002</v>
      </c>
      <c r="AI26" s="2">
        <v>195.74656300000001</v>
      </c>
      <c r="AJ26" s="2">
        <v>2101.8146790000001</v>
      </c>
      <c r="AL26">
        <f t="shared" si="10"/>
        <v>181.16657600150802</v>
      </c>
      <c r="AM26">
        <f t="shared" si="9"/>
        <v>162.58740013282534</v>
      </c>
    </row>
    <row r="27" spans="1:39" ht="25.5" x14ac:dyDescent="0.25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X27" s="1">
        <v>9</v>
      </c>
      <c r="Y27" s="2" t="s">
        <v>20</v>
      </c>
      <c r="Z27" s="2">
        <v>0.1</v>
      </c>
      <c r="AA27" s="2">
        <v>323.14</v>
      </c>
      <c r="AB27" s="2">
        <v>0.69476700000000002</v>
      </c>
      <c r="AC27" s="2">
        <v>0.30523299999999998</v>
      </c>
      <c r="AD27" s="2">
        <v>170.52367899999999</v>
      </c>
      <c r="AE27" s="2">
        <v>8089.6172829999996</v>
      </c>
      <c r="AF27" s="2">
        <v>9.136E-3</v>
      </c>
      <c r="AG27" s="2">
        <v>0.98649600000000004</v>
      </c>
      <c r="AH27" s="2">
        <v>0.78235399999999999</v>
      </c>
      <c r="AI27" s="2">
        <v>245.44014799999999</v>
      </c>
      <c r="AJ27" s="2">
        <v>26503.075809000002</v>
      </c>
      <c r="AL27">
        <f>AD27*AB26</f>
        <v>153.035964147513</v>
      </c>
      <c r="AM27">
        <f t="shared" si="9"/>
        <v>153.03599672978942</v>
      </c>
    </row>
    <row r="28" spans="1:39" ht="38.25" x14ac:dyDescent="0.25">
      <c r="X28" s="1">
        <v>10</v>
      </c>
      <c r="Y28" s="2" t="s">
        <v>100</v>
      </c>
      <c r="Z28" s="2">
        <v>0.101325</v>
      </c>
      <c r="AA28" s="2">
        <v>293.14</v>
      </c>
      <c r="AB28" s="2" t="s">
        <v>10</v>
      </c>
      <c r="AC28" s="2" t="s">
        <v>10</v>
      </c>
      <c r="AD28" s="2">
        <v>242.66098500000001</v>
      </c>
      <c r="AE28" s="2">
        <v>242.66098500000001</v>
      </c>
      <c r="AF28" s="2">
        <v>1.0089000000000001E-2</v>
      </c>
      <c r="AG28" s="2">
        <v>0.98492999999999997</v>
      </c>
      <c r="AH28" s="2">
        <v>0.79131499999999999</v>
      </c>
      <c r="AI28" s="2" t="s">
        <v>10</v>
      </c>
      <c r="AJ28" s="2" t="s">
        <v>10</v>
      </c>
    </row>
  </sheetData>
  <mergeCells count="2">
    <mergeCell ref="AD1:AD11"/>
    <mergeCell ref="Z16:AI16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29EF-3398-40B0-A680-D7A085FCA430}">
  <dimension ref="A1:Q16"/>
  <sheetViews>
    <sheetView zoomScale="130" zoomScaleNormal="130" workbookViewId="0">
      <selection activeCell="Q2" sqref="Q2"/>
    </sheetView>
  </sheetViews>
  <sheetFormatPr defaultRowHeight="15" x14ac:dyDescent="0.25"/>
  <cols>
    <col min="5" max="5" width="9.140625" style="35"/>
    <col min="9" max="9" width="9.140625" style="35"/>
    <col min="15" max="15" width="16.28515625" customWidth="1"/>
  </cols>
  <sheetData>
    <row r="1" spans="1:17" ht="63.75" x14ac:dyDescent="0.25">
      <c r="A1" s="1"/>
      <c r="B1" s="1" t="s">
        <v>107</v>
      </c>
      <c r="C1" s="1" t="s">
        <v>1</v>
      </c>
      <c r="D1" s="1" t="s">
        <v>2</v>
      </c>
      <c r="E1" s="1" t="s">
        <v>80</v>
      </c>
      <c r="F1" s="1" t="s">
        <v>99</v>
      </c>
      <c r="G1" s="1" t="s">
        <v>108</v>
      </c>
      <c r="H1" s="1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1" t="s">
        <v>92</v>
      </c>
      <c r="O1" s="65" t="s">
        <v>128</v>
      </c>
      <c r="Q1" s="65" t="s">
        <v>129</v>
      </c>
    </row>
    <row r="2" spans="1:17" s="58" customFormat="1" ht="25.5" x14ac:dyDescent="0.25">
      <c r="A2" s="56">
        <v>0</v>
      </c>
      <c r="B2" s="57" t="s">
        <v>114</v>
      </c>
      <c r="C2" s="57">
        <v>24</v>
      </c>
      <c r="D2" s="57">
        <v>353.14</v>
      </c>
      <c r="E2" s="71">
        <v>1</v>
      </c>
      <c r="F2" s="57" t="s">
        <v>10</v>
      </c>
      <c r="G2" s="57">
        <v>1.1353089999999999</v>
      </c>
      <c r="H2" s="57">
        <v>1.132101</v>
      </c>
      <c r="I2" s="71">
        <v>138.88646900000001</v>
      </c>
      <c r="J2" s="57">
        <v>138.88646900000001</v>
      </c>
      <c r="K2" s="57">
        <v>0.68591899999999995</v>
      </c>
      <c r="L2" s="57">
        <v>0.68591899999999995</v>
      </c>
      <c r="M2" s="57">
        <v>1.026097</v>
      </c>
      <c r="O2" s="66">
        <f>I2/E2</f>
        <v>138.88646900000001</v>
      </c>
      <c r="Q2" s="66">
        <f t="shared" ref="Q2:Q8" si="0">I2</f>
        <v>138.88646900000001</v>
      </c>
    </row>
    <row r="3" spans="1:17" s="58" customFormat="1" ht="25.5" x14ac:dyDescent="0.25">
      <c r="A3" s="56">
        <v>1</v>
      </c>
      <c r="B3" s="57" t="s">
        <v>115</v>
      </c>
      <c r="C3" s="57">
        <v>22</v>
      </c>
      <c r="D3" s="57">
        <v>353.14</v>
      </c>
      <c r="E3" s="71">
        <v>1</v>
      </c>
      <c r="F3" s="57" t="s">
        <v>10</v>
      </c>
      <c r="G3" s="57">
        <v>1.044886</v>
      </c>
      <c r="H3" s="57">
        <v>1.0373920000000001</v>
      </c>
      <c r="I3" s="71">
        <v>139.44511199999999</v>
      </c>
      <c r="J3" s="57">
        <v>139.44511199999999</v>
      </c>
      <c r="K3" s="57">
        <v>0.68318800000000002</v>
      </c>
      <c r="L3" s="57">
        <v>0.68318800000000002</v>
      </c>
      <c r="M3" s="57">
        <v>1.030224</v>
      </c>
      <c r="O3" s="66">
        <f t="shared" ref="O3:O16" si="1">I3/E3</f>
        <v>139.44511199999999</v>
      </c>
      <c r="Q3" s="66">
        <f t="shared" si="0"/>
        <v>139.44511199999999</v>
      </c>
    </row>
    <row r="4" spans="1:17" s="58" customFormat="1" ht="25.5" x14ac:dyDescent="0.25">
      <c r="A4" s="56">
        <v>2</v>
      </c>
      <c r="B4" s="57" t="s">
        <v>116</v>
      </c>
      <c r="C4" s="57">
        <v>20</v>
      </c>
      <c r="D4" s="57">
        <v>353.14</v>
      </c>
      <c r="E4" s="71">
        <v>1</v>
      </c>
      <c r="F4" s="57" t="s">
        <v>10</v>
      </c>
      <c r="G4" s="57">
        <v>0.95391899999999996</v>
      </c>
      <c r="H4" s="57">
        <v>0.94494699999999998</v>
      </c>
      <c r="I4" s="71">
        <v>140.035571</v>
      </c>
      <c r="J4" s="57">
        <v>140.035571</v>
      </c>
      <c r="K4" s="57">
        <v>0.68033200000000005</v>
      </c>
      <c r="L4" s="57">
        <v>0.68033200000000005</v>
      </c>
      <c r="M4" s="57">
        <v>1.034586</v>
      </c>
      <c r="O4" s="66">
        <f t="shared" si="1"/>
        <v>140.035571</v>
      </c>
      <c r="Q4" s="66">
        <f t="shared" si="0"/>
        <v>140.035571</v>
      </c>
    </row>
    <row r="5" spans="1:17" s="58" customFormat="1" ht="25.5" x14ac:dyDescent="0.25">
      <c r="A5" s="56">
        <v>3</v>
      </c>
      <c r="B5" s="57" t="s">
        <v>117</v>
      </c>
      <c r="C5" s="57">
        <v>18</v>
      </c>
      <c r="D5" s="57">
        <v>353.14</v>
      </c>
      <c r="E5" s="71">
        <v>1</v>
      </c>
      <c r="F5" s="57" t="s">
        <v>10</v>
      </c>
      <c r="G5" s="57">
        <v>0.86238000000000004</v>
      </c>
      <c r="H5" s="57">
        <v>0.80201199999999995</v>
      </c>
      <c r="I5" s="71">
        <v>140.664097</v>
      </c>
      <c r="J5" s="57">
        <v>140.664097</v>
      </c>
      <c r="K5" s="57">
        <v>0.67730599999999996</v>
      </c>
      <c r="L5" s="57">
        <v>0.67730599999999996</v>
      </c>
      <c r="M5" s="57">
        <v>1.0392300000000001</v>
      </c>
      <c r="O5" s="66">
        <f t="shared" si="1"/>
        <v>140.664097</v>
      </c>
      <c r="Q5" s="66">
        <f t="shared" si="0"/>
        <v>140.664097</v>
      </c>
    </row>
    <row r="6" spans="1:17" s="58" customFormat="1" ht="25.5" x14ac:dyDescent="0.25">
      <c r="A6" s="56">
        <v>4</v>
      </c>
      <c r="B6" s="57" t="s">
        <v>118</v>
      </c>
      <c r="C6" s="57">
        <v>16</v>
      </c>
      <c r="D6" s="57">
        <v>353.14</v>
      </c>
      <c r="E6" s="71">
        <v>1</v>
      </c>
      <c r="F6" s="57" t="s">
        <v>10</v>
      </c>
      <c r="G6" s="57">
        <v>0.77020500000000003</v>
      </c>
      <c r="H6" s="57">
        <v>0.58474000000000004</v>
      </c>
      <c r="I6" s="71">
        <v>141.332885</v>
      </c>
      <c r="J6" s="57">
        <v>141.332885</v>
      </c>
      <c r="K6" s="57">
        <v>0.674122</v>
      </c>
      <c r="L6" s="57">
        <v>0.674122</v>
      </c>
      <c r="M6" s="57">
        <v>1.044171</v>
      </c>
      <c r="O6" s="66">
        <f t="shared" si="1"/>
        <v>141.332885</v>
      </c>
      <c r="Q6" s="66">
        <f t="shared" si="0"/>
        <v>141.332885</v>
      </c>
    </row>
    <row r="7" spans="1:17" s="58" customFormat="1" ht="25.5" x14ac:dyDescent="0.25">
      <c r="A7" s="56">
        <v>5</v>
      </c>
      <c r="B7" s="57" t="s">
        <v>119</v>
      </c>
      <c r="C7" s="57">
        <v>14</v>
      </c>
      <c r="D7" s="57">
        <v>353.14</v>
      </c>
      <c r="E7" s="71">
        <v>1</v>
      </c>
      <c r="F7" s="57" t="s">
        <v>10</v>
      </c>
      <c r="G7" s="57">
        <v>0.677346</v>
      </c>
      <c r="H7" s="57">
        <v>0.72767400000000004</v>
      </c>
      <c r="I7" s="71">
        <v>142.049418</v>
      </c>
      <c r="J7" s="57">
        <v>142.049418</v>
      </c>
      <c r="K7" s="57">
        <v>0.670736</v>
      </c>
      <c r="L7" s="57">
        <v>0.670736</v>
      </c>
      <c r="M7" s="57">
        <v>1.0494650000000001</v>
      </c>
      <c r="O7" s="66">
        <f t="shared" si="1"/>
        <v>142.049418</v>
      </c>
      <c r="Q7" s="66">
        <f t="shared" si="0"/>
        <v>142.049418</v>
      </c>
    </row>
    <row r="8" spans="1:17" s="58" customFormat="1" ht="25.5" x14ac:dyDescent="0.25">
      <c r="A8" s="56">
        <v>6</v>
      </c>
      <c r="B8" s="57" t="s">
        <v>120</v>
      </c>
      <c r="C8" s="57">
        <v>12</v>
      </c>
      <c r="D8" s="57">
        <v>353.14</v>
      </c>
      <c r="E8" s="71">
        <v>1</v>
      </c>
      <c r="F8" s="57" t="s">
        <v>10</v>
      </c>
      <c r="G8" s="57">
        <v>0.58376499999999998</v>
      </c>
      <c r="H8" s="57">
        <v>0.77812000000000003</v>
      </c>
      <c r="I8" s="71">
        <v>142.82818800000001</v>
      </c>
      <c r="J8" s="57">
        <v>142.82818800000001</v>
      </c>
      <c r="K8" s="57">
        <v>0.66710400000000003</v>
      </c>
      <c r="L8" s="57">
        <v>0.66710400000000003</v>
      </c>
      <c r="M8" s="57">
        <v>1.055218</v>
      </c>
      <c r="O8" s="66">
        <f t="shared" si="1"/>
        <v>142.82818800000001</v>
      </c>
      <c r="Q8" s="66">
        <f t="shared" si="0"/>
        <v>142.82818800000001</v>
      </c>
    </row>
    <row r="9" spans="1:17" s="55" customFormat="1" ht="51" x14ac:dyDescent="0.25">
      <c r="A9" s="53">
        <v>7</v>
      </c>
      <c r="B9" s="54" t="s">
        <v>121</v>
      </c>
      <c r="C9" s="54">
        <v>11.925895000000001</v>
      </c>
      <c r="D9" s="54">
        <v>353.14</v>
      </c>
      <c r="E9" s="72">
        <v>1</v>
      </c>
      <c r="F9" s="54" t="s">
        <v>10</v>
      </c>
      <c r="G9" s="54">
        <v>0.58033500000000005</v>
      </c>
      <c r="H9" s="54">
        <v>0.77969699999999997</v>
      </c>
      <c r="I9" s="72">
        <v>142.87118799999999</v>
      </c>
      <c r="J9" s="54">
        <v>142.87118799999999</v>
      </c>
      <c r="K9" s="54">
        <v>0.66700499999999996</v>
      </c>
      <c r="L9" s="54">
        <v>0.66700499999999996</v>
      </c>
      <c r="M9" s="54">
        <v>1.055536</v>
      </c>
      <c r="O9" s="67">
        <f t="shared" si="1"/>
        <v>142.87118799999999</v>
      </c>
      <c r="Q9" s="66">
        <f>I9</f>
        <v>142.87118799999999</v>
      </c>
    </row>
    <row r="10" spans="1:17" s="61" customFormat="1" ht="25.5" x14ac:dyDescent="0.25">
      <c r="A10" s="59">
        <v>8</v>
      </c>
      <c r="B10" s="60" t="s">
        <v>122</v>
      </c>
      <c r="C10" s="60">
        <v>10</v>
      </c>
      <c r="D10" s="60">
        <v>353.14</v>
      </c>
      <c r="E10" s="73">
        <v>0.911331</v>
      </c>
      <c r="F10" s="60">
        <v>8.8668999999999998E-2</v>
      </c>
      <c r="G10" s="60">
        <v>0.51316099999999998</v>
      </c>
      <c r="H10" s="60">
        <v>0.79718500000000003</v>
      </c>
      <c r="I10" s="73">
        <v>137.30507</v>
      </c>
      <c r="J10" s="60">
        <v>20.753361999999999</v>
      </c>
      <c r="K10" s="60">
        <v>0.67947500000000005</v>
      </c>
      <c r="L10" s="60">
        <v>9.7099000000000005E-2</v>
      </c>
      <c r="M10" s="60">
        <v>0.92446600000000001</v>
      </c>
      <c r="O10" s="68">
        <f t="shared" si="1"/>
        <v>150.66432503667713</v>
      </c>
      <c r="Q10" s="75">
        <f t="shared" ref="Q10:Q16" si="2">I10*E9</f>
        <v>137.30507</v>
      </c>
    </row>
    <row r="11" spans="1:17" s="61" customFormat="1" x14ac:dyDescent="0.25">
      <c r="A11" s="59">
        <v>9</v>
      </c>
      <c r="B11" s="60" t="s">
        <v>123</v>
      </c>
      <c r="C11" s="60">
        <v>8</v>
      </c>
      <c r="D11" s="60">
        <v>353.14</v>
      </c>
      <c r="E11" s="73">
        <v>0.90537999999999996</v>
      </c>
      <c r="F11" s="60">
        <v>9.4619999999999996E-2</v>
      </c>
      <c r="G11" s="60">
        <v>0.43548999999999999</v>
      </c>
      <c r="H11" s="60">
        <v>0.81931299999999996</v>
      </c>
      <c r="I11" s="73">
        <v>144.702561</v>
      </c>
      <c r="J11" s="60">
        <v>28.451103</v>
      </c>
      <c r="K11" s="60">
        <v>0.69243500000000002</v>
      </c>
      <c r="L11" s="60">
        <v>7.6463000000000003E-2</v>
      </c>
      <c r="M11" s="60">
        <v>0.96791099999999997</v>
      </c>
      <c r="O11" s="68">
        <f t="shared" si="1"/>
        <v>159.82522366299236</v>
      </c>
      <c r="Q11" s="75">
        <f t="shared" si="2"/>
        <v>131.87192961869101</v>
      </c>
    </row>
    <row r="12" spans="1:17" s="61" customFormat="1" x14ac:dyDescent="0.25">
      <c r="A12" s="59">
        <v>10</v>
      </c>
      <c r="B12" s="60" t="s">
        <v>124</v>
      </c>
      <c r="C12" s="60">
        <v>6</v>
      </c>
      <c r="D12" s="60">
        <v>353.14</v>
      </c>
      <c r="E12" s="73">
        <v>0.90057200000000004</v>
      </c>
      <c r="F12" s="60">
        <v>9.9428000000000002E-2</v>
      </c>
      <c r="G12" s="60">
        <v>0.34831000000000001</v>
      </c>
      <c r="H12" s="60">
        <v>0.84528599999999998</v>
      </c>
      <c r="I12" s="73">
        <v>153.493638</v>
      </c>
      <c r="J12" s="60">
        <v>41.126269999999998</v>
      </c>
      <c r="K12" s="60">
        <v>0.70566099999999998</v>
      </c>
      <c r="L12" s="60">
        <v>5.7239999999999999E-2</v>
      </c>
      <c r="M12" s="60">
        <v>1.0212619999999999</v>
      </c>
      <c r="O12" s="68">
        <f t="shared" si="1"/>
        <v>170.4401624745162</v>
      </c>
      <c r="Q12" s="75">
        <f t="shared" si="2"/>
        <v>138.97006997244</v>
      </c>
    </row>
    <row r="13" spans="1:17" s="61" customFormat="1" x14ac:dyDescent="0.25">
      <c r="A13" s="59">
        <v>11</v>
      </c>
      <c r="B13" s="60" t="s">
        <v>125</v>
      </c>
      <c r="C13" s="60">
        <v>4</v>
      </c>
      <c r="D13" s="60">
        <v>353.14</v>
      </c>
      <c r="E13" s="73">
        <v>0.89060799999999996</v>
      </c>
      <c r="F13" s="60">
        <v>0.109392</v>
      </c>
      <c r="G13" s="60">
        <v>0.249801</v>
      </c>
      <c r="H13" s="60">
        <v>0.87519999999999998</v>
      </c>
      <c r="I13" s="73">
        <v>163.29694499999999</v>
      </c>
      <c r="J13" s="60">
        <v>70.273371999999995</v>
      </c>
      <c r="K13" s="60">
        <v>0.719642</v>
      </c>
      <c r="L13" s="60">
        <v>3.9241999999999999E-2</v>
      </c>
      <c r="M13" s="60">
        <v>1.0744670000000001</v>
      </c>
      <c r="O13" s="68">
        <f t="shared" si="1"/>
        <v>183.35445560785442</v>
      </c>
      <c r="Q13" s="75">
        <f t="shared" si="2"/>
        <v>147.06065635254001</v>
      </c>
    </row>
    <row r="14" spans="1:17" s="61" customFormat="1" x14ac:dyDescent="0.25">
      <c r="A14" s="59">
        <v>12</v>
      </c>
      <c r="B14" s="60" t="s">
        <v>126</v>
      </c>
      <c r="C14" s="60">
        <v>2</v>
      </c>
      <c r="D14" s="60">
        <v>353.14</v>
      </c>
      <c r="E14" s="73">
        <v>0.861232</v>
      </c>
      <c r="F14" s="60">
        <v>0.138768</v>
      </c>
      <c r="G14" s="60">
        <v>0.137376</v>
      </c>
      <c r="H14" s="60">
        <v>0.91162799999999999</v>
      </c>
      <c r="I14" s="73">
        <v>173.68353400000001</v>
      </c>
      <c r="J14" s="60">
        <v>185.70990900000001</v>
      </c>
      <c r="K14" s="60">
        <v>0.73639699999999997</v>
      </c>
      <c r="L14" s="60">
        <v>2.1805999999999999E-2</v>
      </c>
      <c r="M14" s="60">
        <v>1.1051139999999999</v>
      </c>
      <c r="O14" s="68">
        <f t="shared" si="1"/>
        <v>201.66869554312893</v>
      </c>
      <c r="Q14" s="75">
        <f t="shared" si="2"/>
        <v>154.68394484867201</v>
      </c>
    </row>
    <row r="15" spans="1:17" s="61" customFormat="1" ht="25.5" x14ac:dyDescent="0.25">
      <c r="A15" s="59">
        <v>13</v>
      </c>
      <c r="B15" s="60" t="s">
        <v>127</v>
      </c>
      <c r="C15" s="60">
        <v>0.1</v>
      </c>
      <c r="D15" s="60">
        <v>353.14</v>
      </c>
      <c r="E15" s="73">
        <v>0.63550700000000004</v>
      </c>
      <c r="F15" s="60">
        <v>0.36449300000000001</v>
      </c>
      <c r="G15" s="60">
        <v>8.9709999999999998E-3</v>
      </c>
      <c r="H15" s="60">
        <v>0.98706899999999997</v>
      </c>
      <c r="I15" s="73">
        <v>167.39015800000001</v>
      </c>
      <c r="J15" s="60">
        <v>10563.147118000001</v>
      </c>
      <c r="K15" s="60">
        <v>0.77693999999999996</v>
      </c>
      <c r="L15" s="60">
        <v>1.7470000000000001E-3</v>
      </c>
      <c r="M15" s="60">
        <v>0.78592099999999998</v>
      </c>
      <c r="O15" s="68">
        <f t="shared" si="1"/>
        <v>263.39624583206796</v>
      </c>
      <c r="Q15" s="75">
        <f t="shared" si="2"/>
        <v>144.16176055465601</v>
      </c>
    </row>
    <row r="16" spans="1:17" s="64" customFormat="1" ht="38.25" x14ac:dyDescent="0.25">
      <c r="A16" s="62">
        <v>14</v>
      </c>
      <c r="B16" s="63" t="s">
        <v>100</v>
      </c>
      <c r="C16" s="63">
        <v>0.101325</v>
      </c>
      <c r="D16" s="63">
        <v>293.14</v>
      </c>
      <c r="E16" s="74">
        <v>0.76614199999999999</v>
      </c>
      <c r="F16" s="63">
        <v>0.23385800000000001</v>
      </c>
      <c r="G16" s="63">
        <v>9.587E-3</v>
      </c>
      <c r="H16" s="63">
        <v>0.98659799999999997</v>
      </c>
      <c r="I16" s="74">
        <v>176.669895</v>
      </c>
      <c r="J16" s="63">
        <v>5549.6006939999997</v>
      </c>
      <c r="K16" s="63">
        <v>0.78935500000000003</v>
      </c>
      <c r="L16" s="63">
        <v>1.6310000000000001E-3</v>
      </c>
      <c r="M16" s="63">
        <v>1</v>
      </c>
      <c r="O16" s="69">
        <f t="shared" si="1"/>
        <v>230.59680189834259</v>
      </c>
      <c r="Q16" s="75">
        <f t="shared" si="2"/>
        <v>112.274954961765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A1E29-3495-4110-A169-C64FEC5A9FFF}">
  <dimension ref="A1:AA119"/>
  <sheetViews>
    <sheetView tabSelected="1" topLeftCell="F107" zoomScaleNormal="100" workbookViewId="0">
      <selection activeCell="Z112" sqref="Z112"/>
    </sheetView>
  </sheetViews>
  <sheetFormatPr defaultRowHeight="15" x14ac:dyDescent="0.25"/>
  <cols>
    <col min="9" max="9" width="10.42578125" bestFit="1" customWidth="1"/>
    <col min="16" max="16" width="41.28515625" customWidth="1"/>
  </cols>
  <sheetData>
    <row r="1" spans="1:20" ht="25.5" x14ac:dyDescent="0.25">
      <c r="A1" s="1"/>
      <c r="B1" s="1" t="s">
        <v>107</v>
      </c>
      <c r="C1" s="1" t="s">
        <v>1</v>
      </c>
      <c r="D1" s="1" t="s">
        <v>2</v>
      </c>
      <c r="E1" s="1" t="s">
        <v>80</v>
      </c>
      <c r="F1" s="1" t="s">
        <v>99</v>
      </c>
      <c r="G1" s="1" t="s">
        <v>108</v>
      </c>
      <c r="H1" s="1" t="s">
        <v>109</v>
      </c>
      <c r="I1" s="1" t="s">
        <v>110</v>
      </c>
      <c r="J1" s="1" t="s">
        <v>111</v>
      </c>
      <c r="K1" s="1" t="s">
        <v>112</v>
      </c>
      <c r="L1" s="1" t="s">
        <v>113</v>
      </c>
    </row>
    <row r="2" spans="1:20" ht="25.5" x14ac:dyDescent="0.25">
      <c r="A2" s="1">
        <v>0</v>
      </c>
      <c r="B2" s="2" t="s">
        <v>130</v>
      </c>
      <c r="C2" s="2">
        <v>22</v>
      </c>
      <c r="D2" s="2">
        <v>323.14</v>
      </c>
      <c r="E2" s="2" t="s">
        <v>10</v>
      </c>
      <c r="F2" s="2" t="s">
        <v>10</v>
      </c>
      <c r="G2" s="2">
        <v>1.108582</v>
      </c>
      <c r="H2" s="2">
        <v>1.1029119999999999</v>
      </c>
      <c r="I2" s="2">
        <v>135.377354</v>
      </c>
      <c r="J2" s="2">
        <v>135.377354</v>
      </c>
      <c r="K2" s="2">
        <v>0.70369899999999996</v>
      </c>
      <c r="L2" s="2">
        <v>0.70369899999999996</v>
      </c>
      <c r="Q2" t="s">
        <v>133</v>
      </c>
    </row>
    <row r="3" spans="1:20" s="78" customFormat="1" ht="38.25" x14ac:dyDescent="0.25">
      <c r="A3" s="76">
        <v>1</v>
      </c>
      <c r="B3" s="77" t="s">
        <v>131</v>
      </c>
      <c r="C3" s="77">
        <v>9.8881549999999994</v>
      </c>
      <c r="D3" s="77">
        <v>323.14</v>
      </c>
      <c r="E3" s="77">
        <v>1</v>
      </c>
      <c r="F3" s="77" t="s">
        <v>10</v>
      </c>
      <c r="G3" s="77">
        <v>0.50941000000000003</v>
      </c>
      <c r="H3" s="77">
        <v>0.76791699999999996</v>
      </c>
      <c r="I3" s="77">
        <v>138.40544299999999</v>
      </c>
      <c r="J3" s="77">
        <v>138.40544299999999</v>
      </c>
      <c r="K3" s="77">
        <v>0.68832499999999996</v>
      </c>
      <c r="L3" s="77">
        <v>0.68832499999999996</v>
      </c>
      <c r="N3" s="78">
        <f>I3</f>
        <v>138.40544299999999</v>
      </c>
      <c r="O3" s="78">
        <f>N3/$N$6</f>
        <v>1.5605821067040284</v>
      </c>
      <c r="Q3" s="78">
        <f>I3</f>
        <v>138.40544299999999</v>
      </c>
      <c r="S3" s="78">
        <f>Q3</f>
        <v>138.40544299999999</v>
      </c>
      <c r="T3">
        <f t="shared" ref="T3:T5" si="0">S3/$S$6</f>
        <v>1.2253009034865989</v>
      </c>
    </row>
    <row r="4" spans="1:20" x14ac:dyDescent="0.25">
      <c r="A4" s="1">
        <v>2</v>
      </c>
      <c r="B4" s="2" t="s">
        <v>132</v>
      </c>
      <c r="C4" s="2">
        <v>8</v>
      </c>
      <c r="D4" s="2">
        <v>323.14</v>
      </c>
      <c r="E4" s="2">
        <v>0.90844199999999997</v>
      </c>
      <c r="F4" s="2">
        <v>9.1558E-2</v>
      </c>
      <c r="G4" s="2">
        <v>0.43667600000000001</v>
      </c>
      <c r="H4" s="2">
        <v>0.79544199999999998</v>
      </c>
      <c r="I4" s="2">
        <v>133.21945500000001</v>
      </c>
      <c r="J4" s="2">
        <v>24.457767</v>
      </c>
      <c r="K4" s="2">
        <v>0.70089999999999997</v>
      </c>
      <c r="L4" s="2">
        <v>7.8491000000000005E-2</v>
      </c>
      <c r="N4">
        <f>I4*E4</f>
        <v>121.02214813911</v>
      </c>
      <c r="O4" s="78">
        <f t="shared" ref="O4:O6" si="1">N4/$N$6</f>
        <v>1.3645778287836507</v>
      </c>
      <c r="Q4">
        <f>N4</f>
        <v>121.02214813911</v>
      </c>
      <c r="S4">
        <f>I4</f>
        <v>133.21945500000001</v>
      </c>
      <c r="T4">
        <f t="shared" si="0"/>
        <v>1.1793894447741649</v>
      </c>
    </row>
    <row r="5" spans="1:20" ht="25.5" x14ac:dyDescent="0.25">
      <c r="A5" s="1">
        <v>3</v>
      </c>
      <c r="B5" s="2" t="s">
        <v>20</v>
      </c>
      <c r="C5" s="2">
        <v>0.1</v>
      </c>
      <c r="D5" s="2">
        <v>323.14</v>
      </c>
      <c r="E5" s="2">
        <v>0.40759800000000002</v>
      </c>
      <c r="F5" s="2">
        <v>0.59240199999999998</v>
      </c>
      <c r="G5" s="2">
        <v>9.5519999999999997E-3</v>
      </c>
      <c r="H5" s="2">
        <v>0.99220699999999995</v>
      </c>
      <c r="I5" s="2">
        <v>104.598097</v>
      </c>
      <c r="J5" s="2">
        <v>15791.350823999999</v>
      </c>
      <c r="K5" s="2">
        <v>0.788184</v>
      </c>
      <c r="L5" s="2">
        <v>1.2880000000000001E-3</v>
      </c>
      <c r="N5">
        <f t="shared" ref="N5" si="2">I5*E4</f>
        <v>95.021304434873997</v>
      </c>
      <c r="O5" s="78">
        <f t="shared" si="1"/>
        <v>1.0714069059895319</v>
      </c>
      <c r="Q5">
        <f>(C4*Q4*E4*G5*D5)/(C5*G4*D4)</f>
        <v>192.39201333118154</v>
      </c>
      <c r="S5">
        <f>S4*E4</f>
        <v>121.02214813911</v>
      </c>
      <c r="T5">
        <f t="shared" si="0"/>
        <v>1.0714069059895319</v>
      </c>
    </row>
    <row r="6" spans="1:20" ht="38.25" x14ac:dyDescent="0.25">
      <c r="A6" s="1">
        <v>4</v>
      </c>
      <c r="B6" s="2" t="s">
        <v>100</v>
      </c>
      <c r="C6" s="2">
        <v>0.101325</v>
      </c>
      <c r="D6" s="2">
        <v>293.14</v>
      </c>
      <c r="E6" s="2">
        <v>0.45169399999999998</v>
      </c>
      <c r="F6" s="2">
        <v>0.54830599999999996</v>
      </c>
      <c r="G6" s="2">
        <v>9.9579999999999998E-3</v>
      </c>
      <c r="H6" s="2">
        <v>0.99141699999999999</v>
      </c>
      <c r="I6" s="2">
        <v>108.192612</v>
      </c>
      <c r="J6" s="2">
        <v>13075.187516</v>
      </c>
      <c r="K6" s="2">
        <v>0.79336200000000001</v>
      </c>
      <c r="L6" s="2">
        <v>1.2960000000000001E-3</v>
      </c>
      <c r="N6">
        <f>C5*N5*G6*D6/C6/G5/D5</f>
        <v>88.688344179669116</v>
      </c>
      <c r="O6" s="78">
        <f t="shared" si="1"/>
        <v>1</v>
      </c>
      <c r="Q6">
        <f t="shared" ref="Q6" si="3">C5*Q5*E5*G6*D6/(C6*G5*D5)</f>
        <v>73.192173217641283</v>
      </c>
      <c r="S6">
        <f>C5*S5*G6*D6/C6/G5/D5</f>
        <v>112.95628902759046</v>
      </c>
      <c r="T6">
        <f>S6/$S$6</f>
        <v>1</v>
      </c>
    </row>
    <row r="11" spans="1:20" ht="25.5" x14ac:dyDescent="0.25">
      <c r="A11" s="1"/>
      <c r="B11" s="1" t="s">
        <v>107</v>
      </c>
      <c r="C11" s="1" t="s">
        <v>1</v>
      </c>
      <c r="D11" s="1" t="s">
        <v>2</v>
      </c>
      <c r="E11" s="1" t="s">
        <v>80</v>
      </c>
      <c r="F11" s="1" t="s">
        <v>99</v>
      </c>
      <c r="G11" s="1" t="s">
        <v>108</v>
      </c>
      <c r="H11" s="1" t="s">
        <v>109</v>
      </c>
      <c r="I11" s="1" t="s">
        <v>110</v>
      </c>
      <c r="J11" s="1" t="s">
        <v>111</v>
      </c>
      <c r="K11" s="1" t="s">
        <v>112</v>
      </c>
      <c r="L11" s="1" t="s">
        <v>113</v>
      </c>
    </row>
    <row r="12" spans="1:20" ht="25.5" x14ac:dyDescent="0.25">
      <c r="A12" s="1">
        <v>0</v>
      </c>
      <c r="B12" s="2" t="s">
        <v>130</v>
      </c>
      <c r="C12" s="2">
        <v>22</v>
      </c>
      <c r="D12" s="2">
        <v>323.14</v>
      </c>
      <c r="E12" s="2" t="s">
        <v>10</v>
      </c>
      <c r="F12" s="2" t="s">
        <v>10</v>
      </c>
      <c r="G12" s="2">
        <v>1.108582</v>
      </c>
      <c r="H12" s="2">
        <v>1.1029119999999999</v>
      </c>
      <c r="I12" s="2">
        <v>135.377354</v>
      </c>
      <c r="J12" s="2">
        <v>135.377354</v>
      </c>
      <c r="K12" s="2">
        <v>0.70369899999999996</v>
      </c>
      <c r="L12" s="2">
        <v>0.70369899999999996</v>
      </c>
    </row>
    <row r="13" spans="1:20" ht="38.25" x14ac:dyDescent="0.25">
      <c r="A13" s="1">
        <v>1</v>
      </c>
      <c r="B13" s="2" t="s">
        <v>131</v>
      </c>
      <c r="C13" s="2">
        <v>9.8881549999999994</v>
      </c>
      <c r="D13" s="2">
        <v>323.14</v>
      </c>
      <c r="E13" s="2">
        <v>1</v>
      </c>
      <c r="F13" s="2" t="s">
        <v>10</v>
      </c>
      <c r="G13" s="2">
        <v>0.50941000000000003</v>
      </c>
      <c r="H13" s="2">
        <v>0.76791699999999996</v>
      </c>
      <c r="I13" s="2">
        <v>138.40544299999999</v>
      </c>
      <c r="J13" s="2">
        <v>138.40544299999999</v>
      </c>
      <c r="K13" s="2">
        <v>0.68832499999999996</v>
      </c>
      <c r="L13" s="2">
        <v>0.68832499999999996</v>
      </c>
      <c r="N13">
        <f>I13</f>
        <v>138.40544299999999</v>
      </c>
      <c r="O13">
        <f t="shared" ref="O13:O14" si="4">N13/$N$15</f>
        <v>1.5729724899314708</v>
      </c>
    </row>
    <row r="14" spans="1:20" ht="25.5" x14ac:dyDescent="0.25">
      <c r="A14" s="1">
        <v>2</v>
      </c>
      <c r="B14" s="2" t="s">
        <v>20</v>
      </c>
      <c r="C14" s="2">
        <v>0.1</v>
      </c>
      <c r="D14" s="2">
        <v>323.14</v>
      </c>
      <c r="E14" s="2">
        <v>0.36480200000000002</v>
      </c>
      <c r="F14" s="2">
        <v>0.63519800000000004</v>
      </c>
      <c r="G14" s="2">
        <v>9.6229999999999996E-3</v>
      </c>
      <c r="H14" s="2">
        <v>0.99286799999999997</v>
      </c>
      <c r="I14" s="2">
        <v>94.310587999999996</v>
      </c>
      <c r="J14" s="2">
        <v>16943.431776000001</v>
      </c>
      <c r="K14" s="2">
        <v>0.78916600000000003</v>
      </c>
      <c r="L14" s="2">
        <v>1.232E-3</v>
      </c>
      <c r="N14">
        <f>I14</f>
        <v>94.310587999999996</v>
      </c>
      <c r="O14">
        <f t="shared" si="4"/>
        <v>1.0718361736197115</v>
      </c>
    </row>
    <row r="15" spans="1:20" ht="38.25" x14ac:dyDescent="0.25">
      <c r="A15" s="1">
        <v>3</v>
      </c>
      <c r="B15" s="2" t="s">
        <v>100</v>
      </c>
      <c r="C15" s="2">
        <v>0.101325</v>
      </c>
      <c r="D15" s="2">
        <v>293.14</v>
      </c>
      <c r="E15" s="2">
        <v>0.40546500000000002</v>
      </c>
      <c r="F15" s="2">
        <v>0.59453500000000004</v>
      </c>
      <c r="G15" s="2">
        <v>1.0028E-2</v>
      </c>
      <c r="H15" s="2">
        <v>0.99209400000000003</v>
      </c>
      <c r="I15" s="2">
        <v>97.800162</v>
      </c>
      <c r="J15" s="2">
        <v>14187.264834</v>
      </c>
      <c r="K15" s="2">
        <v>0.79411600000000004</v>
      </c>
      <c r="L15" s="2">
        <v>1.243E-3</v>
      </c>
      <c r="N15">
        <f>C14*N14*G15*D15/(C15*G14*D14)</f>
        <v>87.989741642608038</v>
      </c>
      <c r="O15">
        <f>N15/$N$15</f>
        <v>1</v>
      </c>
    </row>
    <row r="20" spans="1:22" ht="25.5" x14ac:dyDescent="0.25">
      <c r="A20" s="79"/>
      <c r="B20" s="79" t="s">
        <v>107</v>
      </c>
      <c r="C20" s="79" t="s">
        <v>1</v>
      </c>
      <c r="D20" s="79" t="s">
        <v>2</v>
      </c>
      <c r="E20" s="79" t="s">
        <v>80</v>
      </c>
      <c r="F20" s="79" t="s">
        <v>99</v>
      </c>
      <c r="G20" s="79" t="s">
        <v>108</v>
      </c>
      <c r="H20" s="79" t="s">
        <v>109</v>
      </c>
      <c r="I20" s="79" t="s">
        <v>110</v>
      </c>
      <c r="J20" s="79" t="s">
        <v>111</v>
      </c>
      <c r="K20" s="79" t="s">
        <v>112</v>
      </c>
      <c r="L20" s="79" t="s">
        <v>113</v>
      </c>
      <c r="M20" s="80"/>
      <c r="N20" s="80"/>
      <c r="O20" s="80"/>
    </row>
    <row r="21" spans="1:22" ht="25.5" x14ac:dyDescent="0.25">
      <c r="A21" s="79">
        <v>0</v>
      </c>
      <c r="B21" s="81" t="s">
        <v>134</v>
      </c>
      <c r="C21" s="81">
        <v>22</v>
      </c>
      <c r="D21" s="81">
        <v>293.14</v>
      </c>
      <c r="E21" s="81" t="s">
        <v>10</v>
      </c>
      <c r="F21" s="81" t="s">
        <v>10</v>
      </c>
      <c r="G21" s="81">
        <v>1.1903680000000001</v>
      </c>
      <c r="H21" s="81">
        <v>1.185117</v>
      </c>
      <c r="I21" s="81">
        <v>131.869326</v>
      </c>
      <c r="J21" s="81">
        <v>131.869326</v>
      </c>
      <c r="K21" s="81">
        <v>0.72241900000000003</v>
      </c>
      <c r="L21" s="81">
        <v>0.72241900000000003</v>
      </c>
      <c r="M21" s="80"/>
      <c r="N21" s="80">
        <f>I21</f>
        <v>131.869326</v>
      </c>
      <c r="O21" s="80">
        <f t="shared" ref="O21:O23" si="5">N21/$N$24</f>
        <v>1.350189789095857</v>
      </c>
    </row>
    <row r="22" spans="1:22" ht="38.25" x14ac:dyDescent="0.25">
      <c r="A22" s="79">
        <v>1</v>
      </c>
      <c r="B22" s="81" t="s">
        <v>135</v>
      </c>
      <c r="C22" s="81">
        <v>7.7223860000000002</v>
      </c>
      <c r="D22" s="81">
        <v>293.14</v>
      </c>
      <c r="E22" s="81" t="s">
        <v>10</v>
      </c>
      <c r="F22" s="81" t="s">
        <v>10</v>
      </c>
      <c r="G22" s="81">
        <v>0.42614999999999997</v>
      </c>
      <c r="H22" s="81">
        <v>0.76307800000000003</v>
      </c>
      <c r="I22" s="81">
        <v>134.49174600000001</v>
      </c>
      <c r="J22" s="81">
        <v>134.49174600000001</v>
      </c>
      <c r="K22" s="81">
        <v>0.70835899999999996</v>
      </c>
      <c r="L22" s="81">
        <v>0.70835899999999996</v>
      </c>
      <c r="M22" s="80"/>
      <c r="N22" s="80">
        <f>I22</f>
        <v>134.49174600000001</v>
      </c>
      <c r="O22" s="80">
        <f t="shared" si="5"/>
        <v>1.377040344976614</v>
      </c>
    </row>
    <row r="23" spans="1:22" ht="25.5" x14ac:dyDescent="0.25">
      <c r="A23" s="79">
        <v>2</v>
      </c>
      <c r="B23" s="81" t="s">
        <v>9</v>
      </c>
      <c r="C23" s="81">
        <v>0.1</v>
      </c>
      <c r="D23" s="81">
        <v>293.14</v>
      </c>
      <c r="E23" s="81">
        <v>0.40493000000000001</v>
      </c>
      <c r="F23" s="81">
        <v>0.59506999999999999</v>
      </c>
      <c r="G23" s="81">
        <v>9.9050000000000006E-3</v>
      </c>
      <c r="H23" s="81">
        <v>0.99218399999999995</v>
      </c>
      <c r="I23" s="81">
        <v>97.747517000000002</v>
      </c>
      <c r="J23" s="81">
        <v>14389.480896999999</v>
      </c>
      <c r="K23" s="81">
        <v>0.79420100000000005</v>
      </c>
      <c r="L23" s="81">
        <v>1.227E-3</v>
      </c>
      <c r="M23" s="80"/>
      <c r="N23" s="80">
        <f>I23</f>
        <v>97.747517000000002</v>
      </c>
      <c r="O23" s="80">
        <f t="shared" si="5"/>
        <v>1.0008218238930993</v>
      </c>
    </row>
    <row r="24" spans="1:22" ht="38.25" x14ac:dyDescent="0.25">
      <c r="A24" s="79">
        <v>3</v>
      </c>
      <c r="B24" s="81" t="s">
        <v>100</v>
      </c>
      <c r="C24" s="81">
        <v>0.101325</v>
      </c>
      <c r="D24" s="81">
        <v>293.14</v>
      </c>
      <c r="E24" s="81">
        <v>0.40545999999999999</v>
      </c>
      <c r="F24" s="81">
        <v>0.59453999999999996</v>
      </c>
      <c r="G24" s="81">
        <v>1.0028E-2</v>
      </c>
      <c r="H24" s="81">
        <v>0.99209400000000003</v>
      </c>
      <c r="I24" s="81">
        <v>97.798878000000002</v>
      </c>
      <c r="J24" s="81">
        <v>14187.379816000001</v>
      </c>
      <c r="K24" s="81">
        <v>0.79411699999999996</v>
      </c>
      <c r="L24" s="81">
        <v>1.243E-3</v>
      </c>
      <c r="M24" s="80"/>
      <c r="N24" s="80">
        <f>C23*N23*G24*D24/(C24*G23*D23)</f>
        <v>97.667251718964025</v>
      </c>
      <c r="O24" s="80">
        <f>N24/$N$24</f>
        <v>1</v>
      </c>
    </row>
    <row r="28" spans="1:22" ht="25.5" x14ac:dyDescent="0.25">
      <c r="A28" s="1"/>
      <c r="B28" s="1" t="s">
        <v>107</v>
      </c>
      <c r="C28" s="1" t="s">
        <v>1</v>
      </c>
      <c r="D28" s="1" t="s">
        <v>2</v>
      </c>
      <c r="E28" s="1" t="s">
        <v>80</v>
      </c>
      <c r="F28" s="1" t="s">
        <v>99</v>
      </c>
      <c r="G28" s="1" t="s">
        <v>108</v>
      </c>
      <c r="H28" s="1" t="s">
        <v>109</v>
      </c>
      <c r="I28" s="1" t="s">
        <v>110</v>
      </c>
      <c r="J28" s="1" t="s">
        <v>111</v>
      </c>
      <c r="K28" s="1" t="s">
        <v>112</v>
      </c>
      <c r="L28" s="1" t="s">
        <v>113</v>
      </c>
    </row>
    <row r="29" spans="1:22" ht="25.5" x14ac:dyDescent="0.25">
      <c r="A29" s="1">
        <v>0</v>
      </c>
      <c r="B29" s="2" t="s">
        <v>134</v>
      </c>
      <c r="C29" s="2">
        <v>22</v>
      </c>
      <c r="D29" s="2">
        <v>293.14</v>
      </c>
      <c r="E29" s="2" t="s">
        <v>10</v>
      </c>
      <c r="F29" s="2" t="s">
        <v>10</v>
      </c>
      <c r="G29" s="2">
        <v>1.1903680000000001</v>
      </c>
      <c r="H29" s="2">
        <v>1.185117</v>
      </c>
      <c r="I29" s="2">
        <v>131.869326</v>
      </c>
      <c r="J29" s="2">
        <v>131.869326</v>
      </c>
      <c r="K29" s="2">
        <v>0.72241900000000003</v>
      </c>
      <c r="L29" s="2">
        <v>0.72241900000000003</v>
      </c>
      <c r="N29">
        <f>I29</f>
        <v>131.869326</v>
      </c>
      <c r="O29">
        <f t="shared" ref="O29:O31" si="6">N29/$N$32</f>
        <v>1.2231450626760931</v>
      </c>
    </row>
    <row r="30" spans="1:22" ht="38.25" x14ac:dyDescent="0.25">
      <c r="A30" s="1">
        <v>1</v>
      </c>
      <c r="B30" s="2" t="s">
        <v>135</v>
      </c>
      <c r="C30" s="2">
        <v>7.7223860000000002</v>
      </c>
      <c r="D30" s="2">
        <v>293.14</v>
      </c>
      <c r="E30" s="2" t="s">
        <v>10</v>
      </c>
      <c r="F30" s="2" t="s">
        <v>10</v>
      </c>
      <c r="G30" s="2">
        <v>0.42614999999999997</v>
      </c>
      <c r="H30" s="2">
        <v>0.76307800000000003</v>
      </c>
      <c r="I30" s="2">
        <v>134.49174600000001</v>
      </c>
      <c r="J30" s="2">
        <v>134.49174600000001</v>
      </c>
      <c r="K30" s="2">
        <v>0.70835899999999996</v>
      </c>
      <c r="L30" s="2">
        <v>0.70835899999999996</v>
      </c>
      <c r="N30">
        <f>I30</f>
        <v>134.49174600000001</v>
      </c>
      <c r="O30">
        <f t="shared" si="6"/>
        <v>1.2474691429801288</v>
      </c>
    </row>
    <row r="31" spans="1:22" x14ac:dyDescent="0.25">
      <c r="A31" s="1">
        <v>2</v>
      </c>
      <c r="B31" s="2" t="s">
        <v>136</v>
      </c>
      <c r="C31" s="2">
        <v>5</v>
      </c>
      <c r="D31" s="2">
        <v>293.14</v>
      </c>
      <c r="E31" s="2">
        <v>0.85044699999999995</v>
      </c>
      <c r="F31" s="2">
        <v>0.14955299999999999</v>
      </c>
      <c r="G31" s="2">
        <v>0.305813</v>
      </c>
      <c r="H31" s="2">
        <v>0.82812600000000003</v>
      </c>
      <c r="I31" s="2">
        <v>126.770606</v>
      </c>
      <c r="J31" s="2">
        <v>60.367899000000001</v>
      </c>
      <c r="K31" s="2">
        <v>0.72838700000000001</v>
      </c>
      <c r="L31" s="2">
        <v>4.8941999999999999E-2</v>
      </c>
      <c r="N31">
        <f>I31</f>
        <v>126.770606</v>
      </c>
      <c r="O31">
        <f t="shared" si="6"/>
        <v>1.1758522282987653</v>
      </c>
      <c r="V31">
        <f>I31/E31</f>
        <v>149.06349954788482</v>
      </c>
    </row>
    <row r="32" spans="1:22" ht="25.5" x14ac:dyDescent="0.25">
      <c r="A32" s="1">
        <v>3</v>
      </c>
      <c r="B32" s="2" t="s">
        <v>9</v>
      </c>
      <c r="C32" s="2">
        <v>0.1</v>
      </c>
      <c r="D32" s="2">
        <v>293.14</v>
      </c>
      <c r="E32" s="2">
        <v>0.48777100000000001</v>
      </c>
      <c r="F32" s="2">
        <v>0.51222900000000005</v>
      </c>
      <c r="G32" s="2">
        <v>9.7669999999999996E-3</v>
      </c>
      <c r="H32" s="2">
        <v>0.99075999999999997</v>
      </c>
      <c r="I32" s="2">
        <v>116.103173</v>
      </c>
      <c r="J32" s="2">
        <v>12368.52399</v>
      </c>
      <c r="K32" s="2">
        <v>0.79267500000000002</v>
      </c>
      <c r="L32" s="2">
        <v>1.338E-3</v>
      </c>
      <c r="N32">
        <f>N31*E31</f>
        <v>107.81168156088199</v>
      </c>
      <c r="O32">
        <f>N32/$N$32</f>
        <v>1</v>
      </c>
      <c r="V32">
        <f>I32/E32</f>
        <v>238.02803569707916</v>
      </c>
    </row>
    <row r="33" spans="1:22" ht="38.25" x14ac:dyDescent="0.25">
      <c r="A33" s="1">
        <v>4</v>
      </c>
      <c r="B33" s="2" t="s">
        <v>100</v>
      </c>
      <c r="C33" s="2">
        <v>0.101325</v>
      </c>
      <c r="D33" s="2">
        <v>293.14</v>
      </c>
      <c r="E33" s="2">
        <v>0.48844799999999999</v>
      </c>
      <c r="F33" s="2">
        <v>0.51155200000000001</v>
      </c>
      <c r="G33" s="2">
        <v>9.8879999999999992E-3</v>
      </c>
      <c r="H33" s="2">
        <v>0.99065499999999995</v>
      </c>
      <c r="I33" s="2">
        <v>116.16617599999999</v>
      </c>
      <c r="J33" s="2">
        <v>12189.367141000001</v>
      </c>
      <c r="K33" s="2">
        <v>0.79258499999999998</v>
      </c>
      <c r="L33" s="2">
        <v>1.354E-3</v>
      </c>
      <c r="N33">
        <f>C32*N32*G33*D33/(C33*G32*D32)</f>
        <v>107.72003292546596</v>
      </c>
      <c r="O33">
        <f>N33/$N$33</f>
        <v>1</v>
      </c>
      <c r="V33">
        <f>I33/E33</f>
        <v>237.82710953878404</v>
      </c>
    </row>
    <row r="37" spans="1:22" ht="25.5" x14ac:dyDescent="0.25">
      <c r="A37" s="1"/>
      <c r="B37" s="1" t="s">
        <v>107</v>
      </c>
      <c r="C37" s="1" t="s">
        <v>1</v>
      </c>
      <c r="D37" s="1" t="s">
        <v>2</v>
      </c>
      <c r="E37" s="1" t="s">
        <v>80</v>
      </c>
      <c r="F37" s="1" t="s">
        <v>99</v>
      </c>
      <c r="G37" s="1" t="s">
        <v>108</v>
      </c>
      <c r="H37" s="1" t="s">
        <v>109</v>
      </c>
      <c r="I37" s="1" t="s">
        <v>110</v>
      </c>
      <c r="J37" s="1" t="s">
        <v>111</v>
      </c>
      <c r="K37" s="1" t="s">
        <v>112</v>
      </c>
      <c r="L37" s="1" t="s">
        <v>113</v>
      </c>
      <c r="N37" s="65" t="s">
        <v>85</v>
      </c>
    </row>
    <row r="38" spans="1:22" ht="25.5" x14ac:dyDescent="0.25">
      <c r="A38" s="1">
        <v>0</v>
      </c>
      <c r="B38" s="2" t="s">
        <v>137</v>
      </c>
      <c r="C38" s="2">
        <v>22</v>
      </c>
      <c r="D38" s="2">
        <v>373.14</v>
      </c>
      <c r="E38" s="2">
        <v>1</v>
      </c>
      <c r="F38" s="2" t="s">
        <v>10</v>
      </c>
      <c r="G38" s="2">
        <v>1.0106310000000001</v>
      </c>
      <c r="H38" s="2">
        <v>1.003449</v>
      </c>
      <c r="I38" s="2">
        <v>142.512068</v>
      </c>
      <c r="J38" s="2">
        <v>142.512068</v>
      </c>
      <c r="K38" s="2">
        <v>0.66846899999999998</v>
      </c>
      <c r="L38" s="2">
        <v>0.66846899999999998</v>
      </c>
      <c r="N38" s="83">
        <f>I38/E38</f>
        <v>142.512068</v>
      </c>
    </row>
    <row r="39" spans="1:22" ht="51" x14ac:dyDescent="0.25">
      <c r="A39" s="1">
        <v>1</v>
      </c>
      <c r="B39" s="2" t="s">
        <v>138</v>
      </c>
      <c r="C39" s="2">
        <v>13.167064</v>
      </c>
      <c r="D39" s="2">
        <v>373.14</v>
      </c>
      <c r="E39" s="2">
        <v>1</v>
      </c>
      <c r="F39" s="2" t="s">
        <v>10</v>
      </c>
      <c r="G39" s="2">
        <v>0.62036999999999998</v>
      </c>
      <c r="H39" s="2">
        <v>0.78886000000000001</v>
      </c>
      <c r="I39" s="2">
        <v>146.16501199999999</v>
      </c>
      <c r="J39" s="2">
        <v>146.16501199999999</v>
      </c>
      <c r="K39" s="2">
        <v>0.65178400000000003</v>
      </c>
      <c r="L39" s="2">
        <v>0.65178400000000003</v>
      </c>
      <c r="N39" s="83">
        <f t="shared" ref="N39:N41" si="7">I39/E39</f>
        <v>146.16501199999999</v>
      </c>
    </row>
    <row r="40" spans="1:22" ht="25.5" x14ac:dyDescent="0.25">
      <c r="A40" s="1">
        <v>2</v>
      </c>
      <c r="B40" s="2" t="s">
        <v>139</v>
      </c>
      <c r="C40" s="2">
        <v>0.1</v>
      </c>
      <c r="D40" s="2">
        <v>373.14</v>
      </c>
      <c r="E40" s="2">
        <v>0.28091300000000002</v>
      </c>
      <c r="F40" s="2">
        <v>0.71908700000000003</v>
      </c>
      <c r="G40" s="2">
        <v>9.5589999999999998E-3</v>
      </c>
      <c r="H40" s="2">
        <v>0.99276799999999998</v>
      </c>
      <c r="I40" s="2">
        <v>83.303274000000002</v>
      </c>
      <c r="J40" s="2">
        <v>22146.797568999998</v>
      </c>
      <c r="K40" s="2">
        <v>0.78649899999999995</v>
      </c>
      <c r="L40" s="2">
        <v>1.3439999999999999E-3</v>
      </c>
      <c r="N40" s="83">
        <f t="shared" si="7"/>
        <v>296.54474517021282</v>
      </c>
    </row>
    <row r="41" spans="1:22" ht="60.75" customHeight="1" x14ac:dyDescent="0.25">
      <c r="A41" s="1">
        <v>3</v>
      </c>
      <c r="B41" s="2" t="s">
        <v>100</v>
      </c>
      <c r="C41" s="2">
        <v>0.101325</v>
      </c>
      <c r="D41" s="2">
        <v>293.14</v>
      </c>
      <c r="E41" s="2">
        <v>0.40543699999999999</v>
      </c>
      <c r="F41" s="2">
        <v>0.59456299999999995</v>
      </c>
      <c r="G41" s="2">
        <v>1.0028E-2</v>
      </c>
      <c r="H41" s="2">
        <v>0.99209400000000003</v>
      </c>
      <c r="I41" s="2">
        <v>97.789766</v>
      </c>
      <c r="J41" s="2">
        <v>14187.95024</v>
      </c>
      <c r="K41" s="2">
        <v>0.79410499999999995</v>
      </c>
      <c r="L41" s="2">
        <v>1.243E-3</v>
      </c>
      <c r="N41" s="84">
        <f t="shared" si="7"/>
        <v>241.19595892826752</v>
      </c>
      <c r="P41" s="85" t="s">
        <v>140</v>
      </c>
    </row>
    <row r="45" spans="1:22" ht="25.5" x14ac:dyDescent="0.25">
      <c r="A45" s="1"/>
      <c r="B45" s="1" t="s">
        <v>107</v>
      </c>
      <c r="C45" s="1" t="s">
        <v>1</v>
      </c>
      <c r="D45" s="1" t="s">
        <v>2</v>
      </c>
      <c r="E45" s="1" t="s">
        <v>80</v>
      </c>
      <c r="F45" s="1" t="s">
        <v>99</v>
      </c>
      <c r="G45" s="1" t="s">
        <v>108</v>
      </c>
      <c r="H45" s="1" t="s">
        <v>109</v>
      </c>
      <c r="I45" s="1" t="s">
        <v>110</v>
      </c>
      <c r="J45" s="1" t="s">
        <v>111</v>
      </c>
      <c r="K45" s="1" t="s">
        <v>112</v>
      </c>
      <c r="L45" s="1" t="s">
        <v>113</v>
      </c>
    </row>
    <row r="46" spans="1:22" ht="25.5" x14ac:dyDescent="0.25">
      <c r="A46" s="1">
        <v>0</v>
      </c>
      <c r="B46" s="2" t="s">
        <v>130</v>
      </c>
      <c r="C46" s="2">
        <v>22</v>
      </c>
      <c r="D46" s="2">
        <v>323.14</v>
      </c>
      <c r="E46" s="2" t="s">
        <v>10</v>
      </c>
      <c r="F46" s="2" t="s">
        <v>10</v>
      </c>
      <c r="G46" s="2">
        <v>1.108582</v>
      </c>
      <c r="H46" s="2">
        <v>1.1029119999999999</v>
      </c>
      <c r="I46" s="2">
        <v>135.377354</v>
      </c>
      <c r="J46" s="2">
        <v>135.377354</v>
      </c>
      <c r="K46" s="2">
        <v>0.70369899999999996</v>
      </c>
      <c r="L46" s="2">
        <v>0.70369899999999996</v>
      </c>
      <c r="O46">
        <f t="shared" ref="O46:O47" si="8">I46/$P$49</f>
        <v>1.4506615656139363</v>
      </c>
    </row>
    <row r="47" spans="1:22" ht="38.25" x14ac:dyDescent="0.25">
      <c r="A47" s="1">
        <v>1</v>
      </c>
      <c r="B47" s="2" t="s">
        <v>131</v>
      </c>
      <c r="C47" s="2">
        <v>9.8881549999999994</v>
      </c>
      <c r="D47" s="2">
        <v>323.14</v>
      </c>
      <c r="E47" s="2" t="s">
        <v>10</v>
      </c>
      <c r="F47" s="2" t="s">
        <v>10</v>
      </c>
      <c r="G47" s="2">
        <v>0.50941000000000003</v>
      </c>
      <c r="H47" s="2">
        <v>0.76791699999999996</v>
      </c>
      <c r="I47" s="2">
        <v>138.40544299999999</v>
      </c>
      <c r="J47" s="2">
        <v>138.40544299999999</v>
      </c>
      <c r="K47" s="2">
        <v>0.68832499999999996</v>
      </c>
      <c r="L47" s="2">
        <v>0.68832499999999996</v>
      </c>
      <c r="O47">
        <f t="shared" si="8"/>
        <v>1.483109624316268</v>
      </c>
    </row>
    <row r="48" spans="1:22" ht="25.5" x14ac:dyDescent="0.25">
      <c r="A48" s="1">
        <v>2</v>
      </c>
      <c r="B48" s="2" t="s">
        <v>20</v>
      </c>
      <c r="C48" s="2">
        <v>0.1</v>
      </c>
      <c r="D48" s="2">
        <v>323.14</v>
      </c>
      <c r="E48" s="2">
        <v>0.36480200000000002</v>
      </c>
      <c r="F48" s="2">
        <v>0.63519800000000004</v>
      </c>
      <c r="G48" s="2">
        <v>9.6229999999999996E-3</v>
      </c>
      <c r="H48" s="2">
        <v>0.99286799999999997</v>
      </c>
      <c r="I48" s="2">
        <v>94.310587999999996</v>
      </c>
      <c r="J48" s="2">
        <v>16943.431776000001</v>
      </c>
      <c r="K48" s="2">
        <v>0.78916600000000003</v>
      </c>
      <c r="L48" s="2">
        <v>1.232E-3</v>
      </c>
      <c r="O48">
        <f>I48/$P$49</f>
        <v>1.010602890362674</v>
      </c>
    </row>
    <row r="49" spans="1:18" ht="38.25" x14ac:dyDescent="0.25">
      <c r="A49" s="1">
        <v>3</v>
      </c>
      <c r="B49" s="2" t="s">
        <v>100</v>
      </c>
      <c r="C49" s="2">
        <v>0.101325</v>
      </c>
      <c r="D49" s="2">
        <v>293.14</v>
      </c>
      <c r="E49" s="2" t="s">
        <v>10</v>
      </c>
      <c r="F49" s="2" t="s">
        <v>10</v>
      </c>
      <c r="G49" s="2">
        <v>1.0635E-2</v>
      </c>
      <c r="H49" s="2">
        <v>0.99312699999999998</v>
      </c>
      <c r="I49" s="2">
        <v>255.81305599999999</v>
      </c>
      <c r="J49" s="2">
        <v>255.81305599999999</v>
      </c>
      <c r="K49" s="2">
        <v>0.79753399999999997</v>
      </c>
      <c r="L49" s="2">
        <v>0.79753399999999997</v>
      </c>
      <c r="O49">
        <f>P49/$P$49</f>
        <v>1</v>
      </c>
      <c r="P49">
        <f>I49*E48</f>
        <v>93.321114454912006</v>
      </c>
    </row>
    <row r="54" spans="1:18" ht="25.5" x14ac:dyDescent="0.25">
      <c r="A54" s="86"/>
      <c r="B54" s="86" t="s">
        <v>107</v>
      </c>
      <c r="C54" s="86" t="s">
        <v>1</v>
      </c>
      <c r="D54" s="86" t="s">
        <v>2</v>
      </c>
      <c r="E54" s="86" t="s">
        <v>80</v>
      </c>
      <c r="F54" s="86" t="s">
        <v>99</v>
      </c>
      <c r="G54" s="86" t="s">
        <v>108</v>
      </c>
      <c r="H54" s="86" t="s">
        <v>109</v>
      </c>
      <c r="I54" s="86" t="s">
        <v>110</v>
      </c>
      <c r="J54" s="86" t="s">
        <v>111</v>
      </c>
      <c r="K54" s="86" t="s">
        <v>112</v>
      </c>
      <c r="L54" s="86" t="s">
        <v>113</v>
      </c>
      <c r="M54" s="82"/>
      <c r="N54" s="82"/>
      <c r="O54" s="82"/>
      <c r="P54" s="82"/>
      <c r="Q54" t="s">
        <v>150</v>
      </c>
    </row>
    <row r="55" spans="1:18" ht="60" x14ac:dyDescent="0.25">
      <c r="A55" s="86">
        <v>0</v>
      </c>
      <c r="B55" s="87" t="s">
        <v>130</v>
      </c>
      <c r="C55" s="87">
        <v>22</v>
      </c>
      <c r="D55" s="87">
        <v>323.14</v>
      </c>
      <c r="E55" s="87" t="s">
        <v>10</v>
      </c>
      <c r="F55" s="87" t="s">
        <v>10</v>
      </c>
      <c r="G55" s="87">
        <v>1.10856</v>
      </c>
      <c r="H55" s="87">
        <v>1.1080490000000001</v>
      </c>
      <c r="I55" s="87">
        <v>135.37464299999999</v>
      </c>
      <c r="J55" s="87">
        <v>135.37464299999999</v>
      </c>
      <c r="K55" s="87">
        <v>0.70371300000000003</v>
      </c>
      <c r="L55" s="87">
        <v>0.70371300000000003</v>
      </c>
      <c r="M55" s="82"/>
      <c r="N55" s="82"/>
      <c r="O55" s="82">
        <f>I55/$P$58</f>
        <v>1.456035708384934</v>
      </c>
      <c r="P55" s="88" t="s">
        <v>141</v>
      </c>
    </row>
    <row r="56" spans="1:18" ht="38.25" x14ac:dyDescent="0.25">
      <c r="A56" s="86">
        <v>1</v>
      </c>
      <c r="B56" s="87" t="s">
        <v>131</v>
      </c>
      <c r="C56" s="87">
        <v>9.8881549999999994</v>
      </c>
      <c r="D56" s="87">
        <v>323.14</v>
      </c>
      <c r="E56" s="87" t="s">
        <v>10</v>
      </c>
      <c r="F56" s="87" t="s">
        <v>10</v>
      </c>
      <c r="G56" s="87">
        <v>0.50932599999999995</v>
      </c>
      <c r="H56" s="87">
        <v>0.76791799999999999</v>
      </c>
      <c r="I56" s="87">
        <v>138.38253499999999</v>
      </c>
      <c r="J56" s="87">
        <v>138.38253499999999</v>
      </c>
      <c r="K56" s="87">
        <v>0.688419</v>
      </c>
      <c r="L56" s="87">
        <v>0.688419</v>
      </c>
      <c r="M56" s="82"/>
      <c r="N56" s="82"/>
      <c r="O56" s="82">
        <f t="shared" ref="O56:O57" si="9">I56/$P$58</f>
        <v>1.4883873959824805</v>
      </c>
      <c r="P56" s="82"/>
    </row>
    <row r="57" spans="1:18" ht="25.5" x14ac:dyDescent="0.25">
      <c r="A57" s="86">
        <v>2</v>
      </c>
      <c r="B57" s="87" t="s">
        <v>20</v>
      </c>
      <c r="C57" s="87">
        <v>0.1</v>
      </c>
      <c r="D57" s="87">
        <v>323.14</v>
      </c>
      <c r="E57" s="87">
        <v>0.36471799999999999</v>
      </c>
      <c r="F57" s="87">
        <v>0.63528200000000001</v>
      </c>
      <c r="G57" s="87">
        <v>9.6220000000000003E-3</v>
      </c>
      <c r="H57" s="87">
        <v>0.99286799999999997</v>
      </c>
      <c r="I57" s="87">
        <v>94.280461000000003</v>
      </c>
      <c r="J57" s="87">
        <v>16945.689703</v>
      </c>
      <c r="K57" s="87">
        <v>0.78913699999999998</v>
      </c>
      <c r="L57" s="87">
        <v>1.232E-3</v>
      </c>
      <c r="M57" s="82"/>
      <c r="N57" s="82"/>
      <c r="O57" s="82">
        <f t="shared" si="9"/>
        <v>1.0140430643203482</v>
      </c>
      <c r="P57" s="82"/>
      <c r="Q57">
        <f>J57*C57*$D$58/(C58*D57)</f>
        <v>15171.446855308832</v>
      </c>
      <c r="R57" s="82">
        <f>Q57/P58</f>
        <v>163.17803600186761</v>
      </c>
    </row>
    <row r="58" spans="1:18" ht="38.25" x14ac:dyDescent="0.25">
      <c r="A58" s="86">
        <v>3</v>
      </c>
      <c r="B58" s="87" t="s">
        <v>100</v>
      </c>
      <c r="C58" s="87">
        <v>0.101325</v>
      </c>
      <c r="D58" s="87">
        <v>293.14</v>
      </c>
      <c r="E58" s="87" t="s">
        <v>10</v>
      </c>
      <c r="F58" s="87" t="s">
        <v>10</v>
      </c>
      <c r="G58" s="87">
        <v>1.0598E-2</v>
      </c>
      <c r="H58" s="87">
        <v>0.99312699999999998</v>
      </c>
      <c r="I58" s="87">
        <v>254.92246</v>
      </c>
      <c r="J58" s="87">
        <v>254.92246</v>
      </c>
      <c r="K58" s="87">
        <v>0.80021900000000001</v>
      </c>
      <c r="L58" s="87">
        <v>0.80021900000000001</v>
      </c>
      <c r="M58" s="82"/>
      <c r="N58" s="82"/>
      <c r="O58" s="82">
        <f>P58/$P$58</f>
        <v>1</v>
      </c>
      <c r="P58" s="82">
        <f>I58*E57</f>
        <v>92.974809766280003</v>
      </c>
    </row>
    <row r="62" spans="1:18" ht="25.5" x14ac:dyDescent="0.25">
      <c r="A62" s="1"/>
      <c r="B62" s="1" t="s">
        <v>107</v>
      </c>
      <c r="C62" s="1" t="s">
        <v>1</v>
      </c>
      <c r="D62" s="1" t="s">
        <v>2</v>
      </c>
      <c r="E62" s="1" t="s">
        <v>80</v>
      </c>
      <c r="F62" s="1" t="s">
        <v>99</v>
      </c>
      <c r="G62" s="1" t="s">
        <v>108</v>
      </c>
      <c r="H62" s="1" t="s">
        <v>109</v>
      </c>
      <c r="I62" s="1" t="s">
        <v>110</v>
      </c>
      <c r="J62" s="1" t="s">
        <v>111</v>
      </c>
      <c r="K62" s="1" t="s">
        <v>112</v>
      </c>
      <c r="L62" s="1" t="s">
        <v>113</v>
      </c>
    </row>
    <row r="63" spans="1:18" ht="25.5" x14ac:dyDescent="0.25">
      <c r="A63" s="1">
        <v>0</v>
      </c>
      <c r="B63" s="2" t="s">
        <v>130</v>
      </c>
      <c r="C63" s="2">
        <v>22</v>
      </c>
      <c r="D63" s="2">
        <v>323.14</v>
      </c>
      <c r="E63" s="2">
        <v>1</v>
      </c>
      <c r="F63" s="2" t="s">
        <v>10</v>
      </c>
      <c r="G63" s="2">
        <v>1.10856</v>
      </c>
      <c r="H63" s="2">
        <v>1.1080490000000001</v>
      </c>
      <c r="I63" s="2">
        <v>135.37464299999999</v>
      </c>
      <c r="J63" s="2">
        <v>0</v>
      </c>
      <c r="K63" s="2">
        <v>0.70371300000000003</v>
      </c>
      <c r="L63" s="2">
        <v>0.70371300000000003</v>
      </c>
      <c r="O63">
        <f>P63/$P$67</f>
        <v>1.4249167538323244</v>
      </c>
      <c r="P63">
        <f>I63</f>
        <v>135.37464299999999</v>
      </c>
    </row>
    <row r="64" spans="1:18" ht="38.25" x14ac:dyDescent="0.25">
      <c r="A64" s="1">
        <v>1</v>
      </c>
      <c r="B64" s="2" t="s">
        <v>131</v>
      </c>
      <c r="C64" s="2">
        <v>9.8881549999999994</v>
      </c>
      <c r="D64" s="2">
        <v>323.14</v>
      </c>
      <c r="E64" s="2">
        <v>1</v>
      </c>
      <c r="F64" s="2" t="s">
        <v>10</v>
      </c>
      <c r="G64" s="2">
        <v>0.50932599999999995</v>
      </c>
      <c r="H64" s="2">
        <v>0.76791799999999999</v>
      </c>
      <c r="I64" s="2">
        <v>138.38253499999999</v>
      </c>
      <c r="J64" s="2">
        <v>0</v>
      </c>
      <c r="K64" s="2">
        <v>0.688419</v>
      </c>
      <c r="L64" s="2">
        <v>0.688419</v>
      </c>
      <c r="O64">
        <f t="shared" ref="O64:O67" si="10">P64/$P$67</f>
        <v>1.4565770087333711</v>
      </c>
      <c r="P64">
        <f>I64</f>
        <v>138.38253499999999</v>
      </c>
    </row>
    <row r="65" spans="1:20" x14ac:dyDescent="0.25">
      <c r="A65" s="1">
        <v>2</v>
      </c>
      <c r="B65" s="2" t="s">
        <v>142</v>
      </c>
      <c r="C65" s="2">
        <v>5</v>
      </c>
      <c r="D65" s="2">
        <v>323.14</v>
      </c>
      <c r="E65" s="2">
        <v>0.76417299999999999</v>
      </c>
      <c r="F65" s="2">
        <v>0.23582700000000001</v>
      </c>
      <c r="G65" s="2">
        <v>0.304037</v>
      </c>
      <c r="H65" s="2">
        <v>0.84941599999999995</v>
      </c>
      <c r="I65" s="2">
        <v>124.83866999999999</v>
      </c>
      <c r="J65" s="2">
        <v>107.63256699999999</v>
      </c>
      <c r="K65" s="2">
        <v>0.72206000000000004</v>
      </c>
      <c r="L65" s="2">
        <v>4.7645E-2</v>
      </c>
      <c r="M65" s="82">
        <f>J65/F65</f>
        <v>456.40476705381485</v>
      </c>
      <c r="O65">
        <f t="shared" si="10"/>
        <v>1.3140179613189804</v>
      </c>
      <c r="P65">
        <f>I65*E64</f>
        <v>124.83866999999999</v>
      </c>
      <c r="Q65">
        <f>J65*C65*$D$58/(C66*D65)</f>
        <v>4882.0032633502506</v>
      </c>
      <c r="R65">
        <f>Q65</f>
        <v>4882.0032633502506</v>
      </c>
      <c r="T65">
        <f>Q65/P67</f>
        <v>51.386641457010924</v>
      </c>
    </row>
    <row r="66" spans="1:20" ht="25.5" x14ac:dyDescent="0.25">
      <c r="A66" s="1">
        <v>3</v>
      </c>
      <c r="B66" s="2" t="s">
        <v>20</v>
      </c>
      <c r="C66" s="2">
        <v>0.1</v>
      </c>
      <c r="D66" s="2">
        <v>323.14</v>
      </c>
      <c r="E66" s="2">
        <v>0.49879299999999999</v>
      </c>
      <c r="F66" s="2">
        <v>0.50120699999999996</v>
      </c>
      <c r="G66" s="2">
        <v>9.4120000000000002E-3</v>
      </c>
      <c r="H66" s="2">
        <v>0.99070199999999997</v>
      </c>
      <c r="I66" s="2">
        <v>126.12211600000001</v>
      </c>
      <c r="J66" s="2">
        <v>13340.160866</v>
      </c>
      <c r="K66" s="2">
        <v>0.78621200000000002</v>
      </c>
      <c r="L66" s="2">
        <v>1.4090000000000001E-3</v>
      </c>
      <c r="M66" s="82">
        <f t="shared" ref="M66" si="11">J66/F66</f>
        <v>26616.070537721942</v>
      </c>
      <c r="O66">
        <f t="shared" si="10"/>
        <v>1.0144604167252855</v>
      </c>
      <c r="P66">
        <f>I66*E65</f>
        <v>96.37911575006801</v>
      </c>
      <c r="Q66">
        <f>J66*C66*$D$58/(C67*D66)</f>
        <v>11943.423086754585</v>
      </c>
      <c r="R66">
        <f>Q66+R65</f>
        <v>16825.426350104834</v>
      </c>
      <c r="T66">
        <f>R66/P67</f>
        <v>177.0998716254139</v>
      </c>
    </row>
    <row r="67" spans="1:20" ht="38.25" x14ac:dyDescent="0.25">
      <c r="A67" s="1">
        <v>4</v>
      </c>
      <c r="B67" s="2" t="s">
        <v>100</v>
      </c>
      <c r="C67" s="2">
        <v>0.101325</v>
      </c>
      <c r="D67" s="2">
        <v>293.14</v>
      </c>
      <c r="E67" s="2" t="s">
        <v>10</v>
      </c>
      <c r="F67" s="2" t="s">
        <v>10</v>
      </c>
      <c r="G67" s="2">
        <v>1.0363000000000001E-2</v>
      </c>
      <c r="H67" s="2">
        <v>0.99075000000000002</v>
      </c>
      <c r="I67" s="2">
        <v>249.250359</v>
      </c>
      <c r="J67" s="2"/>
      <c r="K67" s="2">
        <v>0.79758099999999998</v>
      </c>
      <c r="L67" s="2"/>
      <c r="O67">
        <f t="shared" si="10"/>
        <v>1</v>
      </c>
      <c r="P67">
        <f>I67*E66*E65</f>
        <v>95.005299527785652</v>
      </c>
    </row>
    <row r="73" spans="1:20" ht="25.5" x14ac:dyDescent="0.25">
      <c r="A73" s="1"/>
      <c r="B73" s="1" t="s">
        <v>107</v>
      </c>
      <c r="C73" s="1" t="s">
        <v>1</v>
      </c>
      <c r="D73" s="1" t="s">
        <v>2</v>
      </c>
      <c r="E73" s="1" t="s">
        <v>80</v>
      </c>
      <c r="F73" s="1" t="s">
        <v>99</v>
      </c>
      <c r="G73" s="1" t="s">
        <v>108</v>
      </c>
      <c r="H73" s="1" t="s">
        <v>109</v>
      </c>
      <c r="I73" s="1" t="s">
        <v>110</v>
      </c>
      <c r="J73" s="1" t="s">
        <v>111</v>
      </c>
      <c r="K73" s="1" t="s">
        <v>112</v>
      </c>
      <c r="L73" s="1" t="s">
        <v>113</v>
      </c>
      <c r="N73" s="52" t="s">
        <v>86</v>
      </c>
      <c r="O73" s="52" t="s">
        <v>146</v>
      </c>
      <c r="P73" t="s">
        <v>147</v>
      </c>
      <c r="Q73" t="s">
        <v>148</v>
      </c>
      <c r="R73" t="s">
        <v>149</v>
      </c>
      <c r="T73" t="s">
        <v>22</v>
      </c>
    </row>
    <row r="74" spans="1:20" ht="25.5" x14ac:dyDescent="0.25">
      <c r="A74" s="1">
        <v>0</v>
      </c>
      <c r="B74" s="2" t="s">
        <v>130</v>
      </c>
      <c r="C74" s="2">
        <v>22</v>
      </c>
      <c r="D74" s="2">
        <v>323.14</v>
      </c>
      <c r="E74" s="2">
        <v>1</v>
      </c>
      <c r="F74" s="2" t="s">
        <v>10</v>
      </c>
      <c r="G74" s="2">
        <v>1.10856</v>
      </c>
      <c r="H74" s="2">
        <v>1.1080490000000001</v>
      </c>
      <c r="I74" s="2">
        <v>135.37464299999999</v>
      </c>
      <c r="J74" s="2">
        <v>135.37464299999999</v>
      </c>
      <c r="K74" s="2">
        <v>0.70371300000000003</v>
      </c>
      <c r="L74" s="2">
        <v>0.70371300000000003</v>
      </c>
      <c r="N74" s="3">
        <v>1.3832686692228231</v>
      </c>
      <c r="O74" s="37">
        <f>P74/$P$81</f>
        <v>1.3826135243127053</v>
      </c>
      <c r="P74">
        <f>I74</f>
        <v>135.37464299999999</v>
      </c>
      <c r="Q74">
        <v>0</v>
      </c>
      <c r="R74">
        <v>0</v>
      </c>
    </row>
    <row r="75" spans="1:20" ht="38.25" x14ac:dyDescent="0.25">
      <c r="A75" s="1">
        <v>1</v>
      </c>
      <c r="B75" s="2" t="s">
        <v>131</v>
      </c>
      <c r="C75" s="2">
        <v>9.8881549999999994</v>
      </c>
      <c r="D75" s="2">
        <v>323.14</v>
      </c>
      <c r="E75" s="2">
        <v>1</v>
      </c>
      <c r="F75" s="2" t="s">
        <v>10</v>
      </c>
      <c r="G75" s="2">
        <v>0.50932599999999995</v>
      </c>
      <c r="H75" s="2">
        <v>0.76791799999999999</v>
      </c>
      <c r="I75" s="2">
        <v>138.38253499999999</v>
      </c>
      <c r="J75" s="2">
        <v>138.38253499999999</v>
      </c>
      <c r="K75" s="2">
        <v>0.688419</v>
      </c>
      <c r="L75" s="2">
        <v>0.688419</v>
      </c>
      <c r="N75" s="3">
        <v>1.413987981097149</v>
      </c>
      <c r="O75" s="37">
        <f t="shared" ref="O75:O81" si="12">P75/$P$81</f>
        <v>1.413333842879839</v>
      </c>
      <c r="P75">
        <f>I75</f>
        <v>138.38253499999999</v>
      </c>
      <c r="Q75">
        <v>0</v>
      </c>
      <c r="R75">
        <v>0</v>
      </c>
    </row>
    <row r="76" spans="1:20" x14ac:dyDescent="0.25">
      <c r="A76" s="1">
        <v>2</v>
      </c>
      <c r="B76" s="2" t="s">
        <v>143</v>
      </c>
      <c r="C76" s="2">
        <v>7</v>
      </c>
      <c r="D76" s="2">
        <v>323.14</v>
      </c>
      <c r="E76" s="2">
        <v>0.86074300000000004</v>
      </c>
      <c r="F76" s="2">
        <v>0.13925699999999999</v>
      </c>
      <c r="G76" s="2">
        <v>0.39494800000000002</v>
      </c>
      <c r="H76" s="2">
        <v>0.81200799999999995</v>
      </c>
      <c r="I76" s="2">
        <v>130.47162499999999</v>
      </c>
      <c r="J76" s="2">
        <v>43.398986000000001</v>
      </c>
      <c r="K76" s="2">
        <v>0.70763799999999999</v>
      </c>
      <c r="L76" s="2">
        <v>6.7798999999999998E-2</v>
      </c>
      <c r="N76" s="3">
        <v>1.3331825433694773</v>
      </c>
      <c r="O76" s="37">
        <f t="shared" si="12"/>
        <v>1.3325378318010093</v>
      </c>
      <c r="P76">
        <f>I76*E75</f>
        <v>130.47162499999999</v>
      </c>
      <c r="Q76">
        <f>J76*C76*$H$80*$D$80/($C$81*H76*D76)</f>
        <v>3641.1633107277389</v>
      </c>
      <c r="R76">
        <f>R75+Q76</f>
        <v>3641.1633107277389</v>
      </c>
      <c r="T76">
        <f>R76/$P$81</f>
        <v>37.188069538572286</v>
      </c>
    </row>
    <row r="77" spans="1:20" x14ac:dyDescent="0.25">
      <c r="A77" s="1">
        <v>3</v>
      </c>
      <c r="B77" s="2" t="s">
        <v>142</v>
      </c>
      <c r="C77" s="2">
        <v>5</v>
      </c>
      <c r="D77" s="2">
        <v>323.14</v>
      </c>
      <c r="E77" s="2">
        <v>0.894459</v>
      </c>
      <c r="F77" s="2">
        <v>0.105541</v>
      </c>
      <c r="G77" s="2">
        <v>0.30278699999999997</v>
      </c>
      <c r="H77" s="2">
        <v>0.84779800000000005</v>
      </c>
      <c r="I77" s="2">
        <v>145.52177</v>
      </c>
      <c r="J77" s="2">
        <v>48.077734</v>
      </c>
      <c r="K77" s="2">
        <v>0.72125899999999998</v>
      </c>
      <c r="L77" s="2">
        <v>4.7946000000000003E-2</v>
      </c>
      <c r="N77" s="3">
        <v>1.2798684162215015</v>
      </c>
      <c r="O77" s="37">
        <f t="shared" si="12"/>
        <v>1.2792780383329667</v>
      </c>
      <c r="P77">
        <f t="shared" ref="P77" si="13">I77*E76</f>
        <v>125.25684487511</v>
      </c>
      <c r="Q77">
        <f t="shared" ref="Q77:Q80" si="14">J77*C77*$H$80*$D$81/($C$81*H77*D77)</f>
        <v>2503.3917304891111</v>
      </c>
      <c r="R77">
        <f t="shared" ref="R77:R80" si="15">R76+Q77</f>
        <v>6144.5550412168504</v>
      </c>
      <c r="T77">
        <f t="shared" ref="T77:T80" si="16">R77/$P$81</f>
        <v>62.755806498195021</v>
      </c>
    </row>
    <row r="78" spans="1:20" x14ac:dyDescent="0.25">
      <c r="A78" s="1">
        <v>4</v>
      </c>
      <c r="B78" s="2" t="s">
        <v>144</v>
      </c>
      <c r="C78" s="2">
        <v>3</v>
      </c>
      <c r="D78" s="2">
        <v>323.14</v>
      </c>
      <c r="E78" s="2">
        <v>0.880243</v>
      </c>
      <c r="F78" s="2">
        <v>0.119757</v>
      </c>
      <c r="G78" s="2">
        <v>0.19739999999999999</v>
      </c>
      <c r="H78" s="2">
        <v>0.887714</v>
      </c>
      <c r="I78" s="2">
        <v>155.606908</v>
      </c>
      <c r="J78" s="2">
        <v>95.203592999999998</v>
      </c>
      <c r="K78" s="2">
        <v>0.73591399999999996</v>
      </c>
      <c r="L78" s="2">
        <v>2.9727E-2</v>
      </c>
      <c r="N78" s="3">
        <v>1.2241036186217964</v>
      </c>
      <c r="O78" s="37">
        <f t="shared" si="12"/>
        <v>1.2235628636249596</v>
      </c>
      <c r="P78">
        <f>I78*E77*E76</f>
        <v>119.80165312908075</v>
      </c>
      <c r="Q78">
        <f t="shared" si="14"/>
        <v>2840.5911587536466</v>
      </c>
      <c r="R78">
        <f t="shared" si="15"/>
        <v>8985.146199970497</v>
      </c>
      <c r="T78">
        <f t="shared" si="16"/>
        <v>91.767441661922774</v>
      </c>
    </row>
    <row r="79" spans="1:20" x14ac:dyDescent="0.25">
      <c r="A79" s="1">
        <v>5</v>
      </c>
      <c r="B79" s="2" t="s">
        <v>145</v>
      </c>
      <c r="C79" s="2">
        <v>1</v>
      </c>
      <c r="D79" s="2">
        <v>323.14</v>
      </c>
      <c r="E79" s="2">
        <v>0.81669999999999998</v>
      </c>
      <c r="F79" s="2">
        <v>0.18329999999999999</v>
      </c>
      <c r="G79" s="2">
        <v>7.5068999999999997E-2</v>
      </c>
      <c r="H79" s="2">
        <v>0.93797600000000003</v>
      </c>
      <c r="I79" s="2">
        <v>164.71055999999999</v>
      </c>
      <c r="J79" s="2">
        <v>461.90650399999998</v>
      </c>
      <c r="K79" s="2">
        <v>0.75650300000000004</v>
      </c>
      <c r="L79" s="2">
        <v>1.1882999999999999E-2</v>
      </c>
      <c r="N79" s="3">
        <v>1.1405330377542098</v>
      </c>
      <c r="O79" s="37">
        <f t="shared" si="12"/>
        <v>1.1400435398560242</v>
      </c>
      <c r="P79">
        <f>I79*E78*E77*E76</f>
        <v>111.62409776743951</v>
      </c>
      <c r="Q79">
        <f t="shared" si="14"/>
        <v>4347.7999940783739</v>
      </c>
      <c r="R79">
        <f t="shared" si="15"/>
        <v>13332.946194048871</v>
      </c>
      <c r="T79">
        <f t="shared" si="16"/>
        <v>136.17256022477994</v>
      </c>
    </row>
    <row r="80" spans="1:20" ht="25.5" x14ac:dyDescent="0.25">
      <c r="A80" s="1">
        <v>6</v>
      </c>
      <c r="B80" s="2" t="s">
        <v>20</v>
      </c>
      <c r="C80" s="2">
        <v>0.1</v>
      </c>
      <c r="D80" s="2">
        <v>323.14</v>
      </c>
      <c r="E80" s="2">
        <v>0.73462300000000003</v>
      </c>
      <c r="F80" s="2">
        <v>0.26537699999999997</v>
      </c>
      <c r="G80" s="2">
        <v>9.0989999999999994E-3</v>
      </c>
      <c r="H80" s="2">
        <v>0.98614199999999996</v>
      </c>
      <c r="I80" s="2">
        <v>179.57943900000001</v>
      </c>
      <c r="J80" s="2">
        <v>7030.783375</v>
      </c>
      <c r="K80" s="2">
        <v>0.78181699999999998</v>
      </c>
      <c r="L80" s="2">
        <v>1.7309999999999999E-3</v>
      </c>
      <c r="N80" s="3">
        <v>1.0155469533970198</v>
      </c>
      <c r="O80" s="37">
        <f t="shared" si="12"/>
        <v>1.0151241510746365</v>
      </c>
      <c r="P80">
        <f>I80*E79*E78*E77*E76</f>
        <v>99.392973622704304</v>
      </c>
      <c r="Q80">
        <f t="shared" si="14"/>
        <v>6294.6482671707026</v>
      </c>
      <c r="R80">
        <f t="shared" si="15"/>
        <v>19627.594461219574</v>
      </c>
      <c r="T80">
        <f t="shared" si="16"/>
        <v>200.4613046463017</v>
      </c>
    </row>
    <row r="81" spans="1:16" ht="38.25" x14ac:dyDescent="0.25">
      <c r="A81" s="1">
        <v>7</v>
      </c>
      <c r="B81" s="2" t="s">
        <v>100</v>
      </c>
      <c r="C81" s="2">
        <v>0.101325</v>
      </c>
      <c r="D81" s="2">
        <v>293.14</v>
      </c>
      <c r="E81" s="2" t="s">
        <v>10</v>
      </c>
      <c r="F81" s="2" t="s">
        <v>10</v>
      </c>
      <c r="G81" s="2">
        <v>1.0012E-2</v>
      </c>
      <c r="H81" s="2">
        <v>0.98450300000000002</v>
      </c>
      <c r="I81" s="2">
        <v>240.80911900000001</v>
      </c>
      <c r="J81" s="2">
        <v>240.80911900000001</v>
      </c>
      <c r="K81" s="2">
        <v>0.79364199999999996</v>
      </c>
      <c r="L81" s="2">
        <v>0.79364199999999996</v>
      </c>
      <c r="N81" s="3">
        <v>1</v>
      </c>
      <c r="O81" s="37">
        <f t="shared" si="12"/>
        <v>1</v>
      </c>
      <c r="P81">
        <f>I81*E80*E79*E78*E77*E76</f>
        <v>97.912135690481165</v>
      </c>
    </row>
    <row r="110" spans="2:27" ht="25.5" x14ac:dyDescent="0.25">
      <c r="B110" t="s">
        <v>151</v>
      </c>
      <c r="C110" s="1"/>
      <c r="D110" s="1" t="s">
        <v>107</v>
      </c>
      <c r="E110" s="1" t="s">
        <v>1</v>
      </c>
      <c r="F110" s="1" t="s">
        <v>2</v>
      </c>
      <c r="G110" s="1" t="s">
        <v>80</v>
      </c>
      <c r="H110" s="1" t="s">
        <v>99</v>
      </c>
      <c r="I110" s="1" t="s">
        <v>108</v>
      </c>
      <c r="J110" s="1" t="s">
        <v>109</v>
      </c>
      <c r="K110" s="1" t="s">
        <v>110</v>
      </c>
      <c r="L110" s="56" t="s">
        <v>111</v>
      </c>
      <c r="M110" s="1" t="s">
        <v>112</v>
      </c>
      <c r="N110" s="1" t="s">
        <v>113</v>
      </c>
      <c r="Q110" s="70" t="s">
        <v>152</v>
      </c>
      <c r="R110" s="70" t="s">
        <v>92</v>
      </c>
      <c r="S110" s="70" t="s">
        <v>158</v>
      </c>
      <c r="U110" s="70" t="s">
        <v>159</v>
      </c>
      <c r="V110" s="70" t="s">
        <v>160</v>
      </c>
      <c r="W110" s="70" t="s">
        <v>161</v>
      </c>
      <c r="X110" s="70" t="s">
        <v>162</v>
      </c>
      <c r="AA110" s="70" t="s">
        <v>163</v>
      </c>
    </row>
    <row r="111" spans="2:27" ht="25.5" x14ac:dyDescent="0.25">
      <c r="C111" s="1">
        <v>0</v>
      </c>
      <c r="D111" s="2" t="s">
        <v>115</v>
      </c>
      <c r="E111" s="2">
        <v>22</v>
      </c>
      <c r="F111" s="2">
        <v>353.14</v>
      </c>
      <c r="G111" s="2" t="s">
        <v>10</v>
      </c>
      <c r="H111" s="2">
        <v>0</v>
      </c>
      <c r="I111" s="2">
        <v>1.044848</v>
      </c>
      <c r="J111" s="2">
        <v>1.043922</v>
      </c>
      <c r="K111" s="2">
        <v>139.439966</v>
      </c>
      <c r="L111" s="57">
        <v>139.439966</v>
      </c>
      <c r="M111" s="2">
        <v>0.68319600000000003</v>
      </c>
      <c r="N111" s="2">
        <v>0.68319600000000003</v>
      </c>
      <c r="Q111">
        <f>K111</f>
        <v>139.439966</v>
      </c>
      <c r="R111">
        <f>Q111/$Q$119</f>
        <v>1.4812661083844905</v>
      </c>
      <c r="S111" s="3">
        <v>1.481970526627042</v>
      </c>
      <c r="Z111">
        <v>157.27611084701797</v>
      </c>
      <c r="AA111" s="7">
        <v>158.34722792647955</v>
      </c>
    </row>
    <row r="112" spans="2:27" ht="51" x14ac:dyDescent="0.25">
      <c r="C112" s="1">
        <v>1</v>
      </c>
      <c r="D112" s="2" t="s">
        <v>121</v>
      </c>
      <c r="E112" s="2">
        <v>11.925895000000001</v>
      </c>
      <c r="F112" s="2">
        <v>353.14</v>
      </c>
      <c r="G112" s="2">
        <v>1</v>
      </c>
      <c r="H112" s="2">
        <v>0</v>
      </c>
      <c r="I112" s="2">
        <v>0.58017799999999997</v>
      </c>
      <c r="J112" s="2">
        <v>0.77971299999999999</v>
      </c>
      <c r="K112" s="2">
        <v>142.83246199999999</v>
      </c>
      <c r="L112" s="57">
        <v>142.83246199999999</v>
      </c>
      <c r="M112" s="2">
        <v>0.66697200000000001</v>
      </c>
      <c r="N112" s="2">
        <v>0.66697200000000001</v>
      </c>
      <c r="Q112">
        <f>L112</f>
        <v>142.83246199999999</v>
      </c>
      <c r="R112">
        <f t="shared" ref="R112:R119" si="17">Q112/$Q$119</f>
        <v>1.5173044802500568</v>
      </c>
      <c r="S112" s="3">
        <v>1.518024389642205</v>
      </c>
      <c r="Y112">
        <v>14805.290842061124</v>
      </c>
      <c r="Z112">
        <f>Y112/$Q$119</f>
        <v>157.27611084701797</v>
      </c>
      <c r="AA112" s="7">
        <v>158.34722792647955</v>
      </c>
    </row>
    <row r="113" spans="3:27" x14ac:dyDescent="0.25">
      <c r="C113" s="1">
        <v>2</v>
      </c>
      <c r="D113" s="2" t="s">
        <v>153</v>
      </c>
      <c r="E113" s="2">
        <v>9</v>
      </c>
      <c r="F113" s="2">
        <v>353.14</v>
      </c>
      <c r="G113" s="2">
        <v>0.86674799999999996</v>
      </c>
      <c r="H113" s="2">
        <v>0.13325200000000001</v>
      </c>
      <c r="I113" s="2">
        <v>0.47551500000000002</v>
      </c>
      <c r="J113" s="2">
        <v>0.80797600000000003</v>
      </c>
      <c r="K113" s="2">
        <v>134.453249</v>
      </c>
      <c r="L113" s="57">
        <v>35.122616999999998</v>
      </c>
      <c r="M113" s="2">
        <v>0.68595499999999998</v>
      </c>
      <c r="N113" s="2">
        <v>8.6538000000000004E-2</v>
      </c>
      <c r="Q113">
        <f>K113*G112</f>
        <v>134.453249</v>
      </c>
      <c r="R113">
        <f t="shared" si="17"/>
        <v>1.4282923800044591</v>
      </c>
      <c r="S113" s="3">
        <v>1.4290089109136341</v>
      </c>
      <c r="U113">
        <f>L113*G112</f>
        <v>35.122616999999998</v>
      </c>
      <c r="V113">
        <f>E113*U113*$F$119*$J$119/($E$119*J113*F113)</f>
        <v>3152.2351363241719</v>
      </c>
      <c r="W113">
        <f>V113</f>
        <v>3152.2351363241719</v>
      </c>
      <c r="X113">
        <f>W113/$Q$119</f>
        <v>33.486088723628633</v>
      </c>
      <c r="Y113">
        <f>$W$118-W113</f>
        <v>11653.055705736951</v>
      </c>
      <c r="Z113">
        <f>Y113/$Q$119</f>
        <v>123.79002212338932</v>
      </c>
      <c r="AA113" s="7">
        <v>124.46392287198356</v>
      </c>
    </row>
    <row r="114" spans="3:27" x14ac:dyDescent="0.25">
      <c r="C114" s="1">
        <v>3</v>
      </c>
      <c r="D114" s="2" t="s">
        <v>154</v>
      </c>
      <c r="E114" s="2">
        <v>7</v>
      </c>
      <c r="F114" s="2">
        <v>353.14</v>
      </c>
      <c r="G114" s="2">
        <v>0.903424</v>
      </c>
      <c r="H114" s="2">
        <v>9.6575999999999995E-2</v>
      </c>
      <c r="I114" s="2">
        <v>0.39326</v>
      </c>
      <c r="J114" s="2">
        <v>0.83202200000000004</v>
      </c>
      <c r="K114" s="2">
        <v>149.01507599999999</v>
      </c>
      <c r="L114" s="57">
        <v>33.702643999999999</v>
      </c>
      <c r="M114" s="2">
        <v>0.69900399999999996</v>
      </c>
      <c r="N114" s="2">
        <v>6.6637000000000002E-2</v>
      </c>
      <c r="Q114">
        <f>K114*G113*G112</f>
        <v>129.158519092848</v>
      </c>
      <c r="R114">
        <f t="shared" si="17"/>
        <v>1.3720466407842271</v>
      </c>
      <c r="S114" s="3">
        <v>1.3727058522049609</v>
      </c>
      <c r="U114">
        <f>L114*G112*G113</f>
        <v>29.211699281711997</v>
      </c>
      <c r="V114">
        <f t="shared" ref="V114:V118" si="18">E114*U114*$F$119*$J$119/($E$119*J114*F114)</f>
        <v>1980.194000145447</v>
      </c>
      <c r="W114">
        <f>W113+V114</f>
        <v>5132.4291364696192</v>
      </c>
      <c r="X114">
        <f t="shared" ref="X114:Z118" si="19">W114/$Q$119</f>
        <v>54.52162354613256</v>
      </c>
      <c r="Y114">
        <f t="shared" ref="Y114:Y118" si="20">$W$118-W114</f>
        <v>9672.8617055915056</v>
      </c>
      <c r="Z114">
        <f t="shared" si="19"/>
        <v>102.75448730088542</v>
      </c>
      <c r="AA114" s="7">
        <v>103.16151260223597</v>
      </c>
    </row>
    <row r="115" spans="3:27" x14ac:dyDescent="0.25">
      <c r="C115" s="1">
        <v>4</v>
      </c>
      <c r="D115" s="2" t="s">
        <v>155</v>
      </c>
      <c r="E115" s="2">
        <v>5</v>
      </c>
      <c r="F115" s="2">
        <v>353.14</v>
      </c>
      <c r="G115" s="2">
        <v>0.896679</v>
      </c>
      <c r="H115" s="2">
        <v>0.103321</v>
      </c>
      <c r="I115" s="2">
        <v>0.30064999999999997</v>
      </c>
      <c r="J115" s="2">
        <v>0.85987400000000003</v>
      </c>
      <c r="K115" s="2">
        <v>158.30146199999999</v>
      </c>
      <c r="L115" s="57">
        <v>52.168702000000003</v>
      </c>
      <c r="M115" s="2">
        <v>0.71249499999999999</v>
      </c>
      <c r="N115" s="2">
        <v>4.8077000000000002E-2</v>
      </c>
      <c r="Q115">
        <f>K115*G114*G113</f>
        <v>123.9565264234234</v>
      </c>
      <c r="R115">
        <f t="shared" si="17"/>
        <v>1.3167860461475129</v>
      </c>
      <c r="S115" s="3">
        <v>1.3173941419444417</v>
      </c>
      <c r="U115">
        <f>L115*G114*G113</f>
        <v>40.850229721433038</v>
      </c>
      <c r="V115">
        <f t="shared" si="18"/>
        <v>1913.8917883350741</v>
      </c>
      <c r="W115">
        <f t="shared" ref="W115:W118" si="21">W114+V115</f>
        <v>7046.3209248046933</v>
      </c>
      <c r="X115">
        <f t="shared" si="19"/>
        <v>74.852832183806271</v>
      </c>
      <c r="Y115">
        <f t="shared" si="20"/>
        <v>7758.9699172564306</v>
      </c>
      <c r="Z115">
        <f t="shared" si="19"/>
        <v>82.42327866321169</v>
      </c>
      <c r="AA115" s="7">
        <v>82.583203517674491</v>
      </c>
    </row>
    <row r="116" spans="3:27" x14ac:dyDescent="0.25">
      <c r="C116" s="1">
        <v>5</v>
      </c>
      <c r="D116" s="2" t="s">
        <v>156</v>
      </c>
      <c r="E116" s="2">
        <v>3</v>
      </c>
      <c r="F116" s="2">
        <v>353.14</v>
      </c>
      <c r="G116" s="2">
        <v>0.880768</v>
      </c>
      <c r="H116" s="2">
        <v>0.119232</v>
      </c>
      <c r="I116" s="2">
        <v>0.19555900000000001</v>
      </c>
      <c r="J116" s="2">
        <v>0.89223699999999995</v>
      </c>
      <c r="K116" s="2">
        <v>168.56764699999999</v>
      </c>
      <c r="L116" s="57">
        <v>104.113586</v>
      </c>
      <c r="M116" s="2">
        <v>0.72734600000000005</v>
      </c>
      <c r="N116" s="2">
        <v>3.0528E-2</v>
      </c>
      <c r="Q116">
        <f>K116*G115*G114*G113</f>
        <v>118.35747604349817</v>
      </c>
      <c r="R116">
        <f t="shared" si="17"/>
        <v>1.25730752069434</v>
      </c>
      <c r="S116" s="3">
        <v>1.2578688260928816</v>
      </c>
      <c r="U116">
        <f>L116*G115*G114*G113</f>
        <v>73.101935514337953</v>
      </c>
      <c r="V116">
        <f t="shared" si="18"/>
        <v>1980.4213091674706</v>
      </c>
      <c r="W116">
        <f t="shared" si="21"/>
        <v>9026.7422339721634</v>
      </c>
      <c r="X116">
        <f t="shared" si="19"/>
        <v>95.890781702470207</v>
      </c>
      <c r="Y116">
        <f t="shared" si="20"/>
        <v>5778.5486080889605</v>
      </c>
      <c r="Z116">
        <f t="shared" si="19"/>
        <v>61.385329144547754</v>
      </c>
      <c r="AA116" s="7">
        <v>61.315317169282636</v>
      </c>
    </row>
    <row r="117" spans="3:27" x14ac:dyDescent="0.25">
      <c r="C117" s="1">
        <v>6</v>
      </c>
      <c r="D117" s="2" t="s">
        <v>157</v>
      </c>
      <c r="E117" s="2">
        <v>1</v>
      </c>
      <c r="F117" s="2">
        <v>353.14</v>
      </c>
      <c r="G117" s="2">
        <v>0.812531</v>
      </c>
      <c r="H117" s="2">
        <v>0.187469</v>
      </c>
      <c r="I117" s="2">
        <v>7.4314000000000005E-2</v>
      </c>
      <c r="J117" s="2">
        <v>0.93874800000000003</v>
      </c>
      <c r="K117" s="2">
        <v>177.28402399999999</v>
      </c>
      <c r="L117" s="57">
        <v>516.696684</v>
      </c>
      <c r="M117" s="2">
        <v>0.74912500000000004</v>
      </c>
      <c r="N117" s="2">
        <v>1.238E-2</v>
      </c>
      <c r="Q117">
        <f>K117*G116*G115*G114*G113</f>
        <v>109.635852767695</v>
      </c>
      <c r="R117">
        <f t="shared" si="17"/>
        <v>1.1646580075085398</v>
      </c>
      <c r="S117" s="3">
        <v>1.1651666011117547</v>
      </c>
      <c r="U117">
        <f>L117*G116*G115*G114*G113</f>
        <v>319.53517465612265</v>
      </c>
      <c r="V117">
        <f t="shared" si="18"/>
        <v>2742.5675731962556</v>
      </c>
      <c r="W117">
        <f t="shared" si="21"/>
        <v>11769.309807168418</v>
      </c>
      <c r="X117">
        <f t="shared" si="19"/>
        <v>125.02498556572927</v>
      </c>
      <c r="Y117">
        <f t="shared" si="20"/>
        <v>3035.9810348927058</v>
      </c>
      <c r="Z117">
        <f t="shared" si="19"/>
        <v>32.251125281288694</v>
      </c>
      <c r="AA117" s="7">
        <v>31.98724980620748</v>
      </c>
    </row>
    <row r="118" spans="3:27" ht="25.5" x14ac:dyDescent="0.25">
      <c r="C118" s="1">
        <v>7</v>
      </c>
      <c r="D118" s="2" t="s">
        <v>127</v>
      </c>
      <c r="E118" s="2">
        <v>0.1</v>
      </c>
      <c r="F118" s="2">
        <v>353.14</v>
      </c>
      <c r="G118" s="2">
        <v>0.74459399999999998</v>
      </c>
      <c r="H118" s="2">
        <v>0.25540600000000002</v>
      </c>
      <c r="I118" s="2">
        <v>8.8369999999999994E-3</v>
      </c>
      <c r="J118" s="2">
        <v>0.985286</v>
      </c>
      <c r="K118" s="2">
        <v>193.19892400000001</v>
      </c>
      <c r="L118" s="57">
        <v>7388.4057849999999</v>
      </c>
      <c r="M118" s="2">
        <v>0.77453499999999997</v>
      </c>
      <c r="N118" s="2">
        <v>1.869E-3</v>
      </c>
      <c r="Q118">
        <f>K118*G117*G116*G115*G114*G113</f>
        <v>97.079524585120112</v>
      </c>
      <c r="R118">
        <f t="shared" si="17"/>
        <v>1.0312725519885548</v>
      </c>
      <c r="S118" s="3">
        <v>1.0316807766207028</v>
      </c>
      <c r="U118">
        <f>L118*G117*G116*G115*G114*G113</f>
        <v>3712.5616758080455</v>
      </c>
      <c r="V118">
        <f t="shared" si="18"/>
        <v>3035.9810348927049</v>
      </c>
      <c r="W118">
        <f t="shared" si="21"/>
        <v>14805.290842061124</v>
      </c>
      <c r="X118">
        <f t="shared" si="19"/>
        <v>157.27611084701797</v>
      </c>
      <c r="Y118">
        <f t="shared" si="20"/>
        <v>0</v>
      </c>
      <c r="Z118">
        <f t="shared" si="19"/>
        <v>0</v>
      </c>
      <c r="AA118" s="7">
        <v>0</v>
      </c>
    </row>
    <row r="119" spans="3:27" ht="38.25" x14ac:dyDescent="0.25">
      <c r="C119" s="1">
        <v>8</v>
      </c>
      <c r="D119" s="2" t="s">
        <v>100</v>
      </c>
      <c r="E119" s="2">
        <v>0.101325</v>
      </c>
      <c r="F119" s="2">
        <v>293.14</v>
      </c>
      <c r="G119" s="2" t="s">
        <v>10</v>
      </c>
      <c r="H119" s="2" t="s">
        <v>10</v>
      </c>
      <c r="I119" s="2">
        <v>1.0460000000000001E-2</v>
      </c>
      <c r="J119" s="2">
        <v>0.98350400000000004</v>
      </c>
      <c r="K119" s="2">
        <v>251.60062300000001</v>
      </c>
      <c r="L119" s="57">
        <v>251.60062300000001</v>
      </c>
      <c r="M119" s="2">
        <v>0.79875700000000005</v>
      </c>
      <c r="N119" s="2">
        <v>0.79875700000000005</v>
      </c>
      <c r="Q119">
        <f>K119*G118*G117*G116*G115*G114*G113</f>
        <v>94.135662195145386</v>
      </c>
      <c r="R119">
        <f t="shared" si="17"/>
        <v>1</v>
      </c>
      <c r="S119" s="3">
        <v>1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CAF8F-9336-4CFF-AE7C-305A26610F67}">
  <dimension ref="A1"/>
  <sheetViews>
    <sheetView workbookViewId="0">
      <selection activeCell="C40" sqref="C40:C49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AA5C-F62B-4175-A355-AFAF6AFF7645}">
  <dimension ref="A2:AM89"/>
  <sheetViews>
    <sheetView workbookViewId="0">
      <selection activeCell="AC5" sqref="AC5"/>
    </sheetView>
  </sheetViews>
  <sheetFormatPr defaultRowHeight="15" x14ac:dyDescent="0.25"/>
  <cols>
    <col min="19" max="21" width="10.42578125" bestFit="1" customWidth="1"/>
    <col min="25" max="25" width="11" customWidth="1"/>
  </cols>
  <sheetData>
    <row r="2" spans="1:30" x14ac:dyDescent="0.25">
      <c r="L2" s="46" t="s">
        <v>79</v>
      </c>
      <c r="M2" s="46"/>
      <c r="N2" s="46"/>
      <c r="O2" s="46"/>
    </row>
    <row r="3" spans="1:30" x14ac:dyDescent="0.25">
      <c r="A3" s="47" t="s">
        <v>76</v>
      </c>
      <c r="B3" s="47"/>
      <c r="C3" s="47"/>
      <c r="D3" s="47"/>
      <c r="G3" s="48" t="s">
        <v>78</v>
      </c>
      <c r="H3" s="48"/>
      <c r="I3" s="48"/>
      <c r="L3" s="46"/>
      <c r="M3" s="46"/>
      <c r="N3" s="46"/>
      <c r="O3" s="46"/>
      <c r="R3" s="48" t="s">
        <v>87</v>
      </c>
      <c r="S3" s="48"/>
      <c r="T3" s="48"/>
      <c r="U3" s="48"/>
      <c r="X3" t="s">
        <v>93</v>
      </c>
      <c r="Y3" t="s">
        <v>94</v>
      </c>
      <c r="Z3" t="s">
        <v>3</v>
      </c>
      <c r="AA3" t="s">
        <v>35</v>
      </c>
      <c r="AB3" t="s">
        <v>95</v>
      </c>
    </row>
    <row r="4" spans="1:30" x14ac:dyDescent="0.25">
      <c r="A4" s="1"/>
      <c r="B4" s="1">
        <v>1</v>
      </c>
      <c r="C4" s="1">
        <v>2</v>
      </c>
      <c r="D4" s="1">
        <v>3</v>
      </c>
      <c r="F4" s="1" t="s">
        <v>77</v>
      </c>
      <c r="G4" s="36">
        <v>7.7169999999999996</v>
      </c>
      <c r="H4" s="36">
        <v>3.9089800000000001</v>
      </c>
      <c r="I4" s="36">
        <v>0.1</v>
      </c>
      <c r="L4" s="1" t="s">
        <v>77</v>
      </c>
      <c r="M4" s="36">
        <v>7.7169999999999996</v>
      </c>
      <c r="N4" s="36">
        <v>3.9089800000000001</v>
      </c>
      <c r="O4" s="36">
        <v>0.1</v>
      </c>
      <c r="S4" s="36">
        <v>7.7169999999999996</v>
      </c>
      <c r="T4" s="36">
        <v>3.9089800000000001</v>
      </c>
      <c r="U4" s="36">
        <v>0.1</v>
      </c>
      <c r="X4" s="36">
        <v>7.7169999999999996</v>
      </c>
      <c r="Y4">
        <v>134.45249699999999</v>
      </c>
      <c r="Z4">
        <f t="array" ref="Z4:Z6">TRANSPOSE(S5:U5)</f>
        <v>0.99975599999999998</v>
      </c>
      <c r="AA4">
        <f>Z4</f>
        <v>0.99975599999999998</v>
      </c>
      <c r="AB4" s="6">
        <f>AA4*Y4</f>
        <v>134.41969059073199</v>
      </c>
      <c r="AC4">
        <f>Y4</f>
        <v>134.45249699999999</v>
      </c>
      <c r="AD4">
        <f>AC4/$AC$6</f>
        <v>1.3547222656416331</v>
      </c>
    </row>
    <row r="5" spans="1:30" ht="16.5" x14ac:dyDescent="0.3">
      <c r="A5" s="1" t="s">
        <v>37</v>
      </c>
      <c r="B5" s="2">
        <v>0.21509</v>
      </c>
      <c r="C5" s="2">
        <v>0.202599</v>
      </c>
      <c r="D5" s="2">
        <v>1.1027E-2</v>
      </c>
      <c r="F5" s="1" t="s">
        <v>37</v>
      </c>
      <c r="G5" s="3">
        <v>0.21508386519617809</v>
      </c>
      <c r="H5" s="3">
        <v>0.20101165223437531</v>
      </c>
      <c r="I5" s="3">
        <v>1.0574894330731084E-2</v>
      </c>
      <c r="L5" s="1" t="s">
        <v>37</v>
      </c>
      <c r="M5" s="37">
        <f>G5-B5</f>
        <v>-6.1348038219166678E-6</v>
      </c>
      <c r="N5" s="37">
        <f t="shared" ref="N5:N42" si="0">H5-C5</f>
        <v>-1.5873477656246915E-3</v>
      </c>
      <c r="O5" s="37">
        <f t="shared" ref="O5:O42" si="1">I5-D5</f>
        <v>-4.5210566926891585E-4</v>
      </c>
      <c r="R5" t="s">
        <v>80</v>
      </c>
      <c r="S5" s="39">
        <v>0.99975599999999998</v>
      </c>
      <c r="T5" s="39">
        <v>0.789134</v>
      </c>
      <c r="U5" s="38">
        <v>0.53235500000000002</v>
      </c>
      <c r="X5" s="36">
        <v>3.9089800000000001</v>
      </c>
      <c r="Y5">
        <v>123.514116</v>
      </c>
      <c r="Z5">
        <v>0.789134</v>
      </c>
      <c r="AA5">
        <f>Z5*AA4</f>
        <v>0.78894145130399995</v>
      </c>
      <c r="AB5">
        <f t="shared" ref="AB5:AB6" si="2">AA5*Y5</f>
        <v>97.445405933570598</v>
      </c>
      <c r="AC5">
        <f>Y5*Z4</f>
        <v>123.483978555696</v>
      </c>
      <c r="AD5">
        <f t="shared" ref="AD5:AD6" si="3">AC5/$AC$6</f>
        <v>1.2442051946377413</v>
      </c>
    </row>
    <row r="6" spans="1:30" ht="16.5" x14ac:dyDescent="0.3">
      <c r="A6" s="1" t="s">
        <v>38</v>
      </c>
      <c r="B6" s="2">
        <v>28.187562</v>
      </c>
      <c r="C6" s="2">
        <v>14.877598000000001</v>
      </c>
      <c r="D6" s="2">
        <v>0.16883400000000001</v>
      </c>
      <c r="F6" s="1" t="s">
        <v>38</v>
      </c>
      <c r="G6" s="3">
        <v>28.200996121575571</v>
      </c>
      <c r="H6" s="3">
        <v>14.882118044597101</v>
      </c>
      <c r="I6" s="3">
        <v>0.16893895979810689</v>
      </c>
      <c r="L6" s="1" t="s">
        <v>38</v>
      </c>
      <c r="M6" s="37">
        <f t="shared" ref="M6:M43" si="4">G6-B6</f>
        <v>1.3434121575571112E-2</v>
      </c>
      <c r="N6" s="37">
        <f t="shared" si="0"/>
        <v>4.5200445971005365E-3</v>
      </c>
      <c r="O6" s="37">
        <f t="shared" si="1"/>
        <v>1.0495979810687395E-4</v>
      </c>
      <c r="R6" t="s">
        <v>81</v>
      </c>
      <c r="S6" s="38">
        <v>0.42588500000000001</v>
      </c>
      <c r="T6" s="39">
        <v>0.25104100000000001</v>
      </c>
      <c r="U6" s="38">
        <v>9.6939999999999995E-3</v>
      </c>
      <c r="X6" s="36">
        <v>0.1</v>
      </c>
      <c r="Y6">
        <v>125.767332</v>
      </c>
      <c r="Z6">
        <v>0.53235500000000002</v>
      </c>
      <c r="AA6">
        <f>Z6*AA5</f>
        <v>0.41999692630894092</v>
      </c>
      <c r="AB6" s="6">
        <f t="shared" si="2"/>
        <v>52.821892870076105</v>
      </c>
      <c r="AC6">
        <f>Y6*Z5</f>
        <v>99.247277770487997</v>
      </c>
      <c r="AD6">
        <f t="shared" si="3"/>
        <v>1</v>
      </c>
    </row>
    <row r="7" spans="1:30" x14ac:dyDescent="0.25">
      <c r="A7" s="1" t="s">
        <v>39</v>
      </c>
      <c r="B7" s="2">
        <v>14.907586999999999</v>
      </c>
      <c r="C7" s="2">
        <v>14.650992</v>
      </c>
      <c r="D7" s="2">
        <v>1.0164359999999999</v>
      </c>
      <c r="F7" s="1" t="s">
        <v>39</v>
      </c>
      <c r="G7" s="3">
        <v>14.906813474915968</v>
      </c>
      <c r="H7" s="3">
        <v>14.650707507186839</v>
      </c>
      <c r="I7" s="3">
        <v>1.016600549684807</v>
      </c>
      <c r="L7" s="1" t="s">
        <v>39</v>
      </c>
      <c r="M7" s="37">
        <f t="shared" si="4"/>
        <v>-7.735250840319452E-4</v>
      </c>
      <c r="N7" s="37">
        <f t="shared" si="0"/>
        <v>-2.8449281316156316E-4</v>
      </c>
      <c r="O7" s="37">
        <f t="shared" si="1"/>
        <v>1.6454968480705823E-4</v>
      </c>
      <c r="R7" t="s">
        <v>82</v>
      </c>
      <c r="S7" s="2">
        <v>0.70850400000000002</v>
      </c>
      <c r="T7" s="2">
        <v>0.73696200000000001</v>
      </c>
      <c r="U7" s="2">
        <v>0.79183599999999998</v>
      </c>
    </row>
    <row r="8" spans="1:30" x14ac:dyDescent="0.25">
      <c r="A8" s="1" t="s">
        <v>40</v>
      </c>
      <c r="B8" s="2">
        <v>11.515385</v>
      </c>
      <c r="C8" s="2">
        <v>13.307584</v>
      </c>
      <c r="D8" s="2">
        <v>3.1514630000000001</v>
      </c>
      <c r="F8" s="1" t="s">
        <v>40</v>
      </c>
      <c r="G8" s="3">
        <v>11.513490563647393</v>
      </c>
      <c r="H8" s="3">
        <v>13.307177332767559</v>
      </c>
      <c r="I8" s="3">
        <v>3.1518114708429641</v>
      </c>
      <c r="L8" s="1" t="s">
        <v>40</v>
      </c>
      <c r="M8" s="37">
        <f t="shared" si="4"/>
        <v>-1.8944363526074426E-3</v>
      </c>
      <c r="N8" s="37">
        <f t="shared" si="0"/>
        <v>-4.0666723244164871E-4</v>
      </c>
      <c r="O8" s="37">
        <f t="shared" si="1"/>
        <v>3.4847084296396602E-4</v>
      </c>
      <c r="R8" t="s">
        <v>83</v>
      </c>
      <c r="S8" s="2">
        <f>AI31</f>
        <v>134.45249699999999</v>
      </c>
      <c r="T8" s="2">
        <f>AI32</f>
        <v>123.514116</v>
      </c>
      <c r="U8" s="2">
        <f>AI33</f>
        <v>125.767332</v>
      </c>
      <c r="AA8" s="43" t="s">
        <v>92</v>
      </c>
      <c r="AB8" s="44">
        <f>AB4/AB6</f>
        <v>2.5447723147930104</v>
      </c>
    </row>
    <row r="9" spans="1:30" x14ac:dyDescent="0.25">
      <c r="A9" s="1" t="s">
        <v>41</v>
      </c>
      <c r="B9" s="2">
        <v>1.428844</v>
      </c>
      <c r="C9" s="2">
        <v>1.733001</v>
      </c>
      <c r="D9" s="2">
        <v>0.87154799999999999</v>
      </c>
      <c r="F9" s="1" t="s">
        <v>41</v>
      </c>
      <c r="G9" s="3">
        <v>1.4285571434669537</v>
      </c>
      <c r="H9" s="3">
        <v>1.7329502765431486</v>
      </c>
      <c r="I9" s="3">
        <v>0.87166749729579285</v>
      </c>
      <c r="L9" s="1" t="s">
        <v>41</v>
      </c>
      <c r="M9" s="37">
        <f t="shared" si="4"/>
        <v>-2.8685653304627579E-4</v>
      </c>
      <c r="N9" s="37">
        <f t="shared" si="0"/>
        <v>-5.0723456851420323E-5</v>
      </c>
      <c r="O9" s="37">
        <f t="shared" si="1"/>
        <v>1.1949729579285862E-4</v>
      </c>
      <c r="R9" t="s">
        <v>85</v>
      </c>
      <c r="S9">
        <f>S8/S5</f>
        <v>134.48531141598551</v>
      </c>
      <c r="T9">
        <f>T8/T5</f>
        <v>156.51855831835911</v>
      </c>
      <c r="U9">
        <f t="shared" ref="U9" si="5">U8/U5</f>
        <v>236.24711329845684</v>
      </c>
    </row>
    <row r="10" spans="1:30" ht="16.5" x14ac:dyDescent="0.3">
      <c r="A10" s="1" t="s">
        <v>42</v>
      </c>
      <c r="B10" s="2">
        <v>3.7222420000000001</v>
      </c>
      <c r="C10" s="2">
        <v>4.5714059999999996</v>
      </c>
      <c r="D10" s="2">
        <v>3.0060289999999998</v>
      </c>
      <c r="F10" s="1" t="s">
        <v>42</v>
      </c>
      <c r="G10" s="3">
        <v>3.7214517227387707</v>
      </c>
      <c r="H10" s="3">
        <v>4.5712498114934679</v>
      </c>
      <c r="I10" s="3">
        <v>3.0062201808546369</v>
      </c>
      <c r="L10" s="1" t="s">
        <v>42</v>
      </c>
      <c r="M10" s="37">
        <f t="shared" si="4"/>
        <v>-7.9027726122937736E-4</v>
      </c>
      <c r="N10" s="37">
        <f t="shared" si="0"/>
        <v>-1.5618850653176253E-4</v>
      </c>
      <c r="O10" s="37">
        <f t="shared" si="1"/>
        <v>1.9118085463709633E-4</v>
      </c>
      <c r="R10" t="s">
        <v>96</v>
      </c>
      <c r="S10" s="39">
        <v>2.4399999999999999E-4</v>
      </c>
      <c r="T10" s="39">
        <v>0.210866</v>
      </c>
      <c r="U10" s="39">
        <v>0.46764499999999998</v>
      </c>
    </row>
    <row r="11" spans="1:30" x14ac:dyDescent="0.25">
      <c r="A11" s="1" t="s">
        <v>43</v>
      </c>
      <c r="B11" s="2">
        <v>1.177727</v>
      </c>
      <c r="C11" s="2">
        <v>1.4712609999999999</v>
      </c>
      <c r="D11" s="2">
        <v>1.6225309999999999</v>
      </c>
      <c r="F11" s="1" t="s">
        <v>43</v>
      </c>
      <c r="G11" s="3">
        <v>1.1774593475889688</v>
      </c>
      <c r="H11" s="3">
        <v>1.4712090879619129</v>
      </c>
      <c r="I11" s="3">
        <v>1.6226099811709205</v>
      </c>
      <c r="L11" s="1" t="s">
        <v>43</v>
      </c>
      <c r="M11" s="37">
        <f t="shared" si="4"/>
        <v>-2.6765241103121618E-4</v>
      </c>
      <c r="N11" s="37">
        <f t="shared" si="0"/>
        <v>-5.191203808707634E-5</v>
      </c>
      <c r="O11" s="37">
        <f t="shared" si="1"/>
        <v>7.8981170920533472E-5</v>
      </c>
      <c r="R11" t="s">
        <v>97</v>
      </c>
    </row>
    <row r="12" spans="1:30" x14ac:dyDescent="0.25">
      <c r="A12" s="1" t="s">
        <v>44</v>
      </c>
      <c r="B12" s="2">
        <v>1.130701</v>
      </c>
      <c r="C12" s="2">
        <v>1.417106</v>
      </c>
      <c r="D12" s="2">
        <v>1.754864</v>
      </c>
      <c r="F12" s="1" t="s">
        <v>44</v>
      </c>
      <c r="G12" s="3">
        <v>1.1304409392760542</v>
      </c>
      <c r="H12" s="3">
        <v>1.4170554710859458</v>
      </c>
      <c r="I12" s="3">
        <v>1.7549189602422763</v>
      </c>
      <c r="L12" s="1" t="s">
        <v>44</v>
      </c>
      <c r="M12" s="37">
        <f t="shared" si="4"/>
        <v>-2.600607239457986E-4</v>
      </c>
      <c r="N12" s="37">
        <f t="shared" si="0"/>
        <v>-5.0528914054215335E-5</v>
      </c>
      <c r="O12" s="37">
        <f t="shared" si="1"/>
        <v>5.4960242276358429E-5</v>
      </c>
      <c r="R12" t="s">
        <v>98</v>
      </c>
    </row>
    <row r="13" spans="1:30" x14ac:dyDescent="0.25">
      <c r="A13" s="1" t="s">
        <v>45</v>
      </c>
      <c r="B13" s="2">
        <v>1.9011929999999999</v>
      </c>
      <c r="C13" s="2">
        <v>2.3990580000000001</v>
      </c>
      <c r="D13" s="2">
        <v>3.9023089999999998</v>
      </c>
      <c r="F13" s="1" t="s">
        <v>45</v>
      </c>
      <c r="G13" s="3">
        <v>1.9007414392458</v>
      </c>
      <c r="H13" s="3">
        <v>2.3989671703641786</v>
      </c>
      <c r="I13" s="3">
        <v>3.9023682790320153</v>
      </c>
      <c r="L13" s="1" t="s">
        <v>45</v>
      </c>
      <c r="M13" s="37">
        <f t="shared" si="4"/>
        <v>-4.5156075419994224E-4</v>
      </c>
      <c r="N13" s="37">
        <f t="shared" si="0"/>
        <v>-9.0829635821521038E-5</v>
      </c>
      <c r="O13" s="37">
        <f t="shared" si="1"/>
        <v>5.9279032015524535E-5</v>
      </c>
    </row>
    <row r="14" spans="1:30" x14ac:dyDescent="0.25">
      <c r="A14" s="1" t="s">
        <v>46</v>
      </c>
      <c r="B14" s="2">
        <v>3.0829439999999999</v>
      </c>
      <c r="C14" s="2">
        <v>3.899788</v>
      </c>
      <c r="D14" s="2">
        <v>6.9276119999999999</v>
      </c>
      <c r="F14" s="1" t="s">
        <v>46</v>
      </c>
      <c r="G14" s="3">
        <v>3.0822021658084777</v>
      </c>
      <c r="H14" s="3">
        <v>3.8996357531724994</v>
      </c>
      <c r="I14" s="3">
        <v>6.9276103943480827</v>
      </c>
      <c r="L14" s="1" t="s">
        <v>46</v>
      </c>
      <c r="M14" s="37">
        <f t="shared" si="4"/>
        <v>-7.4183419152218377E-4</v>
      </c>
      <c r="N14" s="37">
        <f t="shared" si="0"/>
        <v>-1.522468275005906E-4</v>
      </c>
      <c r="O14" s="37">
        <f t="shared" si="1"/>
        <v>-1.6056519172025219E-6</v>
      </c>
      <c r="R14" s="48" t="s">
        <v>86</v>
      </c>
      <c r="S14" s="48"/>
      <c r="T14" s="48"/>
      <c r="U14" s="48"/>
    </row>
    <row r="15" spans="1:30" x14ac:dyDescent="0.25">
      <c r="A15" s="1" t="s">
        <v>47</v>
      </c>
      <c r="B15" s="2">
        <v>4.1516229999999998</v>
      </c>
      <c r="C15" s="2">
        <v>5.256386</v>
      </c>
      <c r="D15" s="2">
        <v>9.6412490000000002</v>
      </c>
      <c r="F15" s="1" t="s">
        <v>47</v>
      </c>
      <c r="G15" s="3">
        <v>4.1506189891784109</v>
      </c>
      <c r="H15" s="3">
        <v>5.2561772769375352</v>
      </c>
      <c r="I15" s="3">
        <v>9.6412287912664549</v>
      </c>
      <c r="L15" s="1" t="s">
        <v>47</v>
      </c>
      <c r="M15" s="37">
        <f t="shared" si="4"/>
        <v>-1.0040108215889632E-3</v>
      </c>
      <c r="N15" s="37">
        <f t="shared" si="0"/>
        <v>-2.0872306246477734E-4</v>
      </c>
      <c r="O15" s="37">
        <f t="shared" si="1"/>
        <v>-2.0208733545246105E-5</v>
      </c>
      <c r="S15" s="36">
        <v>7.7169999999999996</v>
      </c>
      <c r="T15" s="36">
        <v>3.9089800000000001</v>
      </c>
      <c r="U15" s="36">
        <v>0.1</v>
      </c>
    </row>
    <row r="16" spans="1:30" x14ac:dyDescent="0.25">
      <c r="A16" s="1" t="s">
        <v>48</v>
      </c>
      <c r="B16" s="2">
        <v>3.4011520000000002</v>
      </c>
      <c r="C16" s="2">
        <v>4.3084049999999996</v>
      </c>
      <c r="D16" s="2">
        <v>8.0267189999999999</v>
      </c>
      <c r="F16" s="1" t="s">
        <v>48</v>
      </c>
      <c r="G16" s="3">
        <v>3.4003262185422289</v>
      </c>
      <c r="H16" s="3">
        <v>4.3082326550167105</v>
      </c>
      <c r="I16" s="3">
        <v>8.0266921170823853</v>
      </c>
      <c r="L16" s="1" t="s">
        <v>48</v>
      </c>
      <c r="M16" s="37">
        <f t="shared" si="4"/>
        <v>-8.2578145777123524E-4</v>
      </c>
      <c r="N16" s="37">
        <f t="shared" si="0"/>
        <v>-1.7234498328910774E-4</v>
      </c>
      <c r="O16" s="37">
        <f t="shared" si="1"/>
        <v>-2.6882917614656776E-5</v>
      </c>
      <c r="R16" t="s">
        <v>80</v>
      </c>
      <c r="S16" s="40">
        <v>100</v>
      </c>
      <c r="T16" s="40">
        <v>78.897353579077773</v>
      </c>
      <c r="U16" s="40">
        <v>53.233560456792851</v>
      </c>
    </row>
    <row r="17" spans="1:39" x14ac:dyDescent="0.25">
      <c r="A17" s="1" t="s">
        <v>49</v>
      </c>
      <c r="B17" s="2">
        <v>3.087955</v>
      </c>
      <c r="C17" s="2">
        <v>3.912455</v>
      </c>
      <c r="D17" s="2">
        <v>7.3267449999999998</v>
      </c>
      <c r="F17" s="1" t="s">
        <v>49</v>
      </c>
      <c r="G17" s="3">
        <v>3.087204187548835</v>
      </c>
      <c r="H17" s="3">
        <v>3.9122967016916443</v>
      </c>
      <c r="I17" s="3">
        <v>7.3267157701283612</v>
      </c>
      <c r="L17" s="1" t="s">
        <v>49</v>
      </c>
      <c r="M17" s="37">
        <f t="shared" si="4"/>
        <v>-7.5081245116503936E-4</v>
      </c>
      <c r="N17" s="37">
        <f t="shared" si="0"/>
        <v>-1.5829830835567549E-4</v>
      </c>
      <c r="O17" s="37">
        <f t="shared" si="1"/>
        <v>-2.9229871638669636E-5</v>
      </c>
      <c r="R17" t="s">
        <v>81</v>
      </c>
      <c r="S17" s="41">
        <v>0.42581188764031502</v>
      </c>
      <c r="T17" s="41">
        <v>0.25102589874142556</v>
      </c>
      <c r="U17" s="41">
        <v>9.6930443595130387E-3</v>
      </c>
    </row>
    <row r="18" spans="1:39" x14ac:dyDescent="0.25">
      <c r="A18" s="1" t="s">
        <v>50</v>
      </c>
      <c r="B18" s="2">
        <v>2.5266000000000002</v>
      </c>
      <c r="C18" s="2">
        <v>3.2015090000000002</v>
      </c>
      <c r="D18" s="2">
        <v>6.0071019999999997</v>
      </c>
      <c r="F18" s="1" t="s">
        <v>50</v>
      </c>
      <c r="G18" s="3">
        <v>2.5259852160938046</v>
      </c>
      <c r="H18" s="3">
        <v>3.201372661033028</v>
      </c>
      <c r="I18" s="3">
        <v>6.0068470934995899</v>
      </c>
      <c r="L18" s="1" t="s">
        <v>50</v>
      </c>
      <c r="M18" s="37">
        <f t="shared" si="4"/>
        <v>-6.1478390619562617E-4</v>
      </c>
      <c r="N18" s="37">
        <f t="shared" si="0"/>
        <v>-1.3633896697218262E-4</v>
      </c>
      <c r="O18" s="37">
        <f t="shared" si="1"/>
        <v>-2.5490650040982388E-4</v>
      </c>
      <c r="R18" t="s">
        <v>82</v>
      </c>
      <c r="S18" s="41">
        <v>0.70840138783560702</v>
      </c>
      <c r="T18" s="41">
        <v>0.73688799623990819</v>
      </c>
      <c r="U18" s="41">
        <v>0.7917739229219074</v>
      </c>
    </row>
    <row r="19" spans="1:39" x14ac:dyDescent="0.25">
      <c r="A19" s="1" t="s">
        <v>51</v>
      </c>
      <c r="B19" s="2">
        <v>2.1413570000000002</v>
      </c>
      <c r="C19" s="2">
        <v>2.7134749999999999</v>
      </c>
      <c r="D19" s="2">
        <v>5.0952210000000004</v>
      </c>
      <c r="F19" s="1" t="s">
        <v>51</v>
      </c>
      <c r="G19" s="3">
        <v>2.1408350257135762</v>
      </c>
      <c r="H19" s="3">
        <v>2.7133608397354378</v>
      </c>
      <c r="I19" s="3">
        <v>5.0950822492478576</v>
      </c>
      <c r="L19" s="1" t="s">
        <v>51</v>
      </c>
      <c r="M19" s="37">
        <f t="shared" si="4"/>
        <v>-5.2197428642397625E-4</v>
      </c>
      <c r="N19" s="37">
        <f t="shared" si="0"/>
        <v>-1.1416026456201323E-4</v>
      </c>
      <c r="O19" s="37">
        <f t="shared" si="1"/>
        <v>-1.3875075214286881E-4</v>
      </c>
      <c r="R19" t="s">
        <v>83</v>
      </c>
      <c r="S19" s="2"/>
      <c r="T19" s="2"/>
      <c r="U19" s="2"/>
    </row>
    <row r="20" spans="1:39" x14ac:dyDescent="0.25">
      <c r="A20" s="1" t="s">
        <v>52</v>
      </c>
      <c r="B20" s="2">
        <v>2.0623070000000001</v>
      </c>
      <c r="C20" s="2">
        <v>2.6133489999999999</v>
      </c>
      <c r="D20" s="2">
        <v>4.9083930000000002</v>
      </c>
      <c r="F20" s="1" t="s">
        <v>52</v>
      </c>
      <c r="G20" s="3">
        <v>2.0618042743088183</v>
      </c>
      <c r="H20" s="3">
        <v>2.6132422123952432</v>
      </c>
      <c r="I20" s="3">
        <v>4.9083695188959648</v>
      </c>
      <c r="L20" s="1" t="s">
        <v>52</v>
      </c>
      <c r="M20" s="37">
        <f t="shared" si="4"/>
        <v>-5.0272569118181565E-4</v>
      </c>
      <c r="N20" s="37">
        <f t="shared" si="0"/>
        <v>-1.0678760475668625E-4</v>
      </c>
      <c r="O20" s="37">
        <f t="shared" si="1"/>
        <v>-2.3481104035383282E-5</v>
      </c>
      <c r="R20" t="s">
        <v>84</v>
      </c>
      <c r="S20" s="40">
        <v>134.47847933283359</v>
      </c>
      <c r="T20" s="40">
        <v>156.52821036498909</v>
      </c>
      <c r="U20" s="40">
        <v>236.26436527371666</v>
      </c>
    </row>
    <row r="21" spans="1:39" x14ac:dyDescent="0.25">
      <c r="A21" s="1" t="s">
        <v>53</v>
      </c>
      <c r="B21" s="2">
        <v>1.8131489999999999</v>
      </c>
      <c r="C21" s="2">
        <v>2.297634</v>
      </c>
      <c r="D21" s="2">
        <v>4.3158099999999999</v>
      </c>
      <c r="F21" s="1" t="s">
        <v>53</v>
      </c>
      <c r="G21" s="3">
        <v>1.8127072871269763</v>
      </c>
      <c r="H21" s="3">
        <v>2.2975408112473015</v>
      </c>
      <c r="I21" s="3">
        <v>4.3157896744443898</v>
      </c>
      <c r="L21" s="1" t="s">
        <v>53</v>
      </c>
      <c r="M21" s="37">
        <f t="shared" si="4"/>
        <v>-4.4171287302363638E-4</v>
      </c>
      <c r="N21" s="37">
        <f t="shared" si="0"/>
        <v>-9.3188752698480926E-5</v>
      </c>
      <c r="O21" s="37">
        <f t="shared" si="1"/>
        <v>-2.0325555610156698E-5</v>
      </c>
      <c r="R21" t="s">
        <v>96</v>
      </c>
      <c r="S21" s="40">
        <v>0</v>
      </c>
      <c r="T21" s="40">
        <v>21.102646420922234</v>
      </c>
      <c r="U21" s="40">
        <v>46.766439543207149</v>
      </c>
    </row>
    <row r="22" spans="1:39" x14ac:dyDescent="0.25">
      <c r="A22" s="1" t="s">
        <v>54</v>
      </c>
      <c r="B22" s="2">
        <v>1.338848</v>
      </c>
      <c r="C22" s="2">
        <v>1.6966019999999999</v>
      </c>
      <c r="D22" s="2">
        <v>3.186941</v>
      </c>
      <c r="F22" s="1" t="s">
        <v>54</v>
      </c>
      <c r="G22" s="3">
        <v>1.3385220634426986</v>
      </c>
      <c r="H22" s="3">
        <v>1.6965333071382056</v>
      </c>
      <c r="I22" s="3">
        <v>3.1869257351333329</v>
      </c>
      <c r="L22" s="1" t="s">
        <v>54</v>
      </c>
      <c r="M22" s="37">
        <f t="shared" si="4"/>
        <v>-3.2593655730139837E-4</v>
      </c>
      <c r="N22" s="37">
        <f t="shared" si="0"/>
        <v>-6.8692861794339422E-5</v>
      </c>
      <c r="O22" s="37">
        <f t="shared" si="1"/>
        <v>-1.5264866667141774E-5</v>
      </c>
      <c r="R22" t="s">
        <v>97</v>
      </c>
      <c r="S22" s="41">
        <v>8.0073389063175876E-2</v>
      </c>
      <c r="T22" s="41">
        <v>3.7794167245458352E-2</v>
      </c>
      <c r="U22" s="41">
        <v>1.3966704873647215E-3</v>
      </c>
    </row>
    <row r="23" spans="1:39" x14ac:dyDescent="0.25">
      <c r="A23" s="1" t="s">
        <v>55</v>
      </c>
      <c r="B23" s="2">
        <v>1.134719</v>
      </c>
      <c r="C23" s="2">
        <v>1.437929</v>
      </c>
      <c r="D23" s="2">
        <v>2.7010649999999998</v>
      </c>
      <c r="F23" s="1" t="s">
        <v>55</v>
      </c>
      <c r="G23" s="3">
        <v>1.1344424374590516</v>
      </c>
      <c r="H23" s="3">
        <v>1.4378705347054883</v>
      </c>
      <c r="I23" s="3">
        <v>2.7010517368105944</v>
      </c>
      <c r="L23" s="1" t="s">
        <v>55</v>
      </c>
      <c r="M23" s="37">
        <f t="shared" si="4"/>
        <v>-2.7656254094843291E-4</v>
      </c>
      <c r="N23" s="37">
        <f t="shared" si="0"/>
        <v>-5.846529451170035E-5</v>
      </c>
      <c r="O23" s="37">
        <f t="shared" si="1"/>
        <v>-1.3263189405421372E-5</v>
      </c>
      <c r="R23" t="s">
        <v>98</v>
      </c>
      <c r="S23" s="40">
        <v>241.0246209094559</v>
      </c>
      <c r="T23" s="40">
        <v>534.32771216424339</v>
      </c>
      <c r="U23" s="40">
        <v>24129.626462579094</v>
      </c>
    </row>
    <row r="24" spans="1:39" x14ac:dyDescent="0.25">
      <c r="A24" s="1" t="s">
        <v>56</v>
      </c>
      <c r="B24" s="2">
        <v>0.95360400000000001</v>
      </c>
      <c r="C24" s="2">
        <v>1.2084189999999999</v>
      </c>
      <c r="D24" s="2">
        <v>2.2699479999999999</v>
      </c>
      <c r="F24" s="1" t="s">
        <v>56</v>
      </c>
      <c r="G24" s="3">
        <v>0.95337193266711429</v>
      </c>
      <c r="H24" s="3">
        <v>1.208369720932432</v>
      </c>
      <c r="I24" s="3">
        <v>2.2699375124867474</v>
      </c>
      <c r="L24" s="1" t="s">
        <v>56</v>
      </c>
      <c r="M24" s="37">
        <f t="shared" si="4"/>
        <v>-2.3206733288572146E-4</v>
      </c>
      <c r="N24" s="37">
        <f t="shared" si="0"/>
        <v>-4.9279067567908896E-5</v>
      </c>
      <c r="O24" s="37">
        <f t="shared" si="1"/>
        <v>-1.0487513252499525E-5</v>
      </c>
    </row>
    <row r="25" spans="1:39" x14ac:dyDescent="0.25">
      <c r="A25" s="1" t="s">
        <v>57</v>
      </c>
      <c r="B25" s="2">
        <v>0.94960199999999995</v>
      </c>
      <c r="C25" s="2">
        <v>1.2033469999999999</v>
      </c>
      <c r="D25" s="2">
        <v>2.2604220000000002</v>
      </c>
      <c r="F25" s="1" t="s">
        <v>57</v>
      </c>
      <c r="G25" s="3">
        <v>0.94937031527482851</v>
      </c>
      <c r="H25" s="3">
        <v>1.2032979488904183</v>
      </c>
      <c r="I25" s="3">
        <v>2.2604116028037442</v>
      </c>
      <c r="L25" s="1" t="s">
        <v>57</v>
      </c>
      <c r="M25" s="37">
        <f t="shared" si="4"/>
        <v>-2.3168472517143268E-4</v>
      </c>
      <c r="N25" s="37">
        <f t="shared" si="0"/>
        <v>-4.9051109581643715E-5</v>
      </c>
      <c r="O25" s="37">
        <f t="shared" si="1"/>
        <v>-1.0397196255951258E-5</v>
      </c>
      <c r="R25" t="s">
        <v>88</v>
      </c>
    </row>
    <row r="26" spans="1:39" x14ac:dyDescent="0.25">
      <c r="A26" s="1" t="s">
        <v>58</v>
      </c>
      <c r="B26" s="2">
        <v>0.99963299999999999</v>
      </c>
      <c r="C26" s="2">
        <v>1.266748</v>
      </c>
      <c r="D26" s="2">
        <v>2.379518</v>
      </c>
      <c r="F26" s="1" t="s">
        <v>58</v>
      </c>
      <c r="G26" s="3">
        <v>0.99938975781802486</v>
      </c>
      <c r="H26" s="3">
        <v>1.2666961275113662</v>
      </c>
      <c r="I26" s="3">
        <v>2.3795064115589937</v>
      </c>
      <c r="L26" s="1" t="s">
        <v>58</v>
      </c>
      <c r="M26" s="37">
        <f t="shared" si="4"/>
        <v>-2.4324218197513403E-4</v>
      </c>
      <c r="N26" s="37">
        <f t="shared" si="0"/>
        <v>-5.1872488633808445E-5</v>
      </c>
      <c r="O26" s="37">
        <f t="shared" si="1"/>
        <v>-1.158844100634937E-5</v>
      </c>
      <c r="S26" s="36">
        <v>9.8750976562500004</v>
      </c>
      <c r="T26" s="36">
        <v>4.987548828125</v>
      </c>
      <c r="U26" s="36">
        <v>0.1</v>
      </c>
    </row>
    <row r="27" spans="1:39" x14ac:dyDescent="0.25">
      <c r="A27" s="1" t="s">
        <v>59</v>
      </c>
      <c r="B27" s="2">
        <v>0.66742299999999999</v>
      </c>
      <c r="C27" s="2">
        <v>0.84576700000000005</v>
      </c>
      <c r="D27" s="2">
        <v>1.588727</v>
      </c>
      <c r="F27" s="1" t="s">
        <v>59</v>
      </c>
      <c r="G27" s="3">
        <v>0.66726022302520649</v>
      </c>
      <c r="H27" s="3">
        <v>0.84573205879075364</v>
      </c>
      <c r="I27" s="3">
        <v>1.5887196274142621</v>
      </c>
      <c r="L27" s="1" t="s">
        <v>59</v>
      </c>
      <c r="M27" s="37">
        <f t="shared" si="4"/>
        <v>-1.6277697479349928E-4</v>
      </c>
      <c r="N27" s="37">
        <f t="shared" si="0"/>
        <v>-3.4941209246408533E-5</v>
      </c>
      <c r="O27" s="37">
        <f t="shared" si="1"/>
        <v>-7.3725857379081106E-6</v>
      </c>
      <c r="R27" t="s">
        <v>80</v>
      </c>
      <c r="S27" s="42">
        <f>S16-S5*100</f>
        <v>2.4399999999999977E-2</v>
      </c>
      <c r="T27" s="42">
        <f>T16-T5*100</f>
        <v>-1.6046420922222637E-2</v>
      </c>
      <c r="U27" s="42">
        <f>U16-U5*100</f>
        <v>-1.939543207150507E-3</v>
      </c>
    </row>
    <row r="28" spans="1:39" x14ac:dyDescent="0.25">
      <c r="A28" s="1" t="s">
        <v>60</v>
      </c>
      <c r="B28" s="2">
        <v>0.62339500000000003</v>
      </c>
      <c r="C28" s="2">
        <v>0.78997399999999995</v>
      </c>
      <c r="D28" s="2">
        <v>1.483924</v>
      </c>
      <c r="F28" s="1" t="s">
        <v>60</v>
      </c>
      <c r="G28" s="3">
        <v>0.62324308736115042</v>
      </c>
      <c r="H28" s="3">
        <v>0.78994168489094574</v>
      </c>
      <c r="I28" s="3">
        <v>1.4839166670536605</v>
      </c>
      <c r="L28" s="1" t="s">
        <v>60</v>
      </c>
      <c r="M28" s="37">
        <f t="shared" si="4"/>
        <v>-1.5191263884961614E-4</v>
      </c>
      <c r="N28" s="37">
        <f t="shared" si="0"/>
        <v>-3.2315109054215085E-5</v>
      </c>
      <c r="O28" s="37">
        <f t="shared" si="1"/>
        <v>-7.3329463394777861E-6</v>
      </c>
      <c r="R28" t="s">
        <v>81</v>
      </c>
      <c r="S28" s="42">
        <f t="shared" ref="S28:U29" si="6">S17-S6</f>
        <v>-7.3112359684990302E-5</v>
      </c>
      <c r="T28" s="42">
        <f t="shared" si="6"/>
        <v>-1.5101258574456988E-5</v>
      </c>
      <c r="U28" s="42">
        <f t="shared" si="6"/>
        <v>-9.5564048696074322E-7</v>
      </c>
    </row>
    <row r="29" spans="1:39" x14ac:dyDescent="0.25">
      <c r="A29" s="1" t="s">
        <v>61</v>
      </c>
      <c r="B29" s="2">
        <v>0.58537099999999997</v>
      </c>
      <c r="C29" s="2">
        <v>0.74178900000000003</v>
      </c>
      <c r="D29" s="2">
        <v>1.3934120000000001</v>
      </c>
      <c r="F29" s="1" t="s">
        <v>61</v>
      </c>
      <c r="G29" s="3">
        <v>0.58522825857623439</v>
      </c>
      <c r="H29" s="3">
        <v>0.74175904629069878</v>
      </c>
      <c r="I29" s="3">
        <v>1.3934049072446546</v>
      </c>
      <c r="L29" s="1" t="s">
        <v>61</v>
      </c>
      <c r="M29" s="37">
        <f t="shared" si="4"/>
        <v>-1.4274142376557997E-4</v>
      </c>
      <c r="N29" s="37">
        <f t="shared" si="0"/>
        <v>-2.9953709301255849E-5</v>
      </c>
      <c r="O29" s="37">
        <f t="shared" si="1"/>
        <v>-7.0927553454946946E-6</v>
      </c>
      <c r="R29" t="s">
        <v>82</v>
      </c>
      <c r="S29" s="42">
        <f t="shared" si="6"/>
        <v>-1.0261216439300114E-4</v>
      </c>
      <c r="T29" s="42">
        <f t="shared" si="6"/>
        <v>-7.4003760091811976E-5</v>
      </c>
      <c r="U29" s="42">
        <f t="shared" si="6"/>
        <v>-6.2077078092581672E-5</v>
      </c>
    </row>
    <row r="30" spans="1:39" ht="25.5" x14ac:dyDescent="0.25">
      <c r="A30" s="1" t="s">
        <v>62</v>
      </c>
      <c r="B30" s="2">
        <v>0.49531399999999998</v>
      </c>
      <c r="C30" s="2">
        <v>0.627668</v>
      </c>
      <c r="D30" s="2">
        <v>1.179041</v>
      </c>
      <c r="F30" s="1" t="s">
        <v>62</v>
      </c>
      <c r="G30" s="3">
        <v>0.49519308914501309</v>
      </c>
      <c r="H30" s="3">
        <v>0.62764220382314395</v>
      </c>
      <c r="I30" s="3">
        <v>1.1790348000262356</v>
      </c>
      <c r="L30" s="1" t="s">
        <v>62</v>
      </c>
      <c r="M30" s="37">
        <f t="shared" si="4"/>
        <v>-1.2091085498688869E-4</v>
      </c>
      <c r="N30" s="37">
        <f t="shared" si="0"/>
        <v>-2.5796176856052178E-5</v>
      </c>
      <c r="O30" s="37">
        <f t="shared" si="1"/>
        <v>-6.1999737643869679E-6</v>
      </c>
      <c r="R30" t="s">
        <v>83</v>
      </c>
      <c r="AD30" s="1"/>
      <c r="AE30" s="1" t="s">
        <v>0</v>
      </c>
      <c r="AF30" s="1" t="s">
        <v>1</v>
      </c>
      <c r="AG30" s="1" t="s">
        <v>2</v>
      </c>
      <c r="AH30" s="1" t="s">
        <v>3</v>
      </c>
      <c r="AI30" s="1" t="s">
        <v>4</v>
      </c>
      <c r="AJ30" s="1" t="s">
        <v>5</v>
      </c>
      <c r="AK30" s="1" t="s">
        <v>6</v>
      </c>
      <c r="AL30" s="1" t="s">
        <v>7</v>
      </c>
      <c r="AM30" s="1" t="s">
        <v>8</v>
      </c>
    </row>
    <row r="31" spans="1:39" ht="38.25" x14ac:dyDescent="0.25">
      <c r="A31" s="1" t="s">
        <v>63</v>
      </c>
      <c r="B31" s="2">
        <v>0.46929700000000002</v>
      </c>
      <c r="C31" s="2">
        <v>0.59469899999999998</v>
      </c>
      <c r="D31" s="2">
        <v>1.117111</v>
      </c>
      <c r="F31" s="1" t="s">
        <v>63</v>
      </c>
      <c r="G31" s="3">
        <v>0.46918302312998778</v>
      </c>
      <c r="H31" s="3">
        <v>0.59467523522543408</v>
      </c>
      <c r="I31" s="3">
        <v>1.117105881857023</v>
      </c>
      <c r="L31" s="1" t="s">
        <v>63</v>
      </c>
      <c r="M31" s="37">
        <f t="shared" si="4"/>
        <v>-1.1397687001224455E-4</v>
      </c>
      <c r="N31" s="37">
        <f t="shared" si="0"/>
        <v>-2.3764774565893099E-5</v>
      </c>
      <c r="O31" s="37">
        <f t="shared" si="1"/>
        <v>-5.1181429769897591E-6</v>
      </c>
      <c r="R31" t="s">
        <v>84</v>
      </c>
      <c r="S31" s="42">
        <f>S20-S9</f>
        <v>-6.8320831519201874E-3</v>
      </c>
      <c r="T31" s="42">
        <f>T20-T9</f>
        <v>9.6520466299807595E-3</v>
      </c>
      <c r="U31" s="42">
        <f>U20-U9</f>
        <v>1.7251975259824803E-2</v>
      </c>
      <c r="AD31" s="1">
        <v>0</v>
      </c>
      <c r="AE31" s="2" t="s">
        <v>89</v>
      </c>
      <c r="AF31" s="2">
        <v>7.7179690000000001</v>
      </c>
      <c r="AG31" s="2">
        <v>293.14</v>
      </c>
      <c r="AH31" s="2">
        <v>0.99975599999999998</v>
      </c>
      <c r="AI31" s="2">
        <v>134.45249699999999</v>
      </c>
      <c r="AJ31" s="2">
        <v>5.8722000000000003E-2</v>
      </c>
      <c r="AK31" s="2">
        <v>0.42588500000000001</v>
      </c>
      <c r="AL31" s="2">
        <v>0.76317699999999999</v>
      </c>
      <c r="AM31" s="2">
        <v>0.70850400000000002</v>
      </c>
    </row>
    <row r="32" spans="1:39" ht="51" x14ac:dyDescent="0.25">
      <c r="A32" s="1" t="s">
        <v>64</v>
      </c>
      <c r="B32" s="2">
        <v>0.40825899999999998</v>
      </c>
      <c r="C32" s="2">
        <v>0.51734999999999998</v>
      </c>
      <c r="D32" s="2">
        <v>0.97181499999999998</v>
      </c>
      <c r="F32" s="1" t="s">
        <v>64</v>
      </c>
      <c r="G32" s="3">
        <v>0.40815913275800603</v>
      </c>
      <c r="H32" s="3">
        <v>0.51732930725038517</v>
      </c>
      <c r="I32" s="3">
        <v>0.97181045705957558</v>
      </c>
      <c r="L32" s="1" t="s">
        <v>64</v>
      </c>
      <c r="M32" s="37">
        <f t="shared" si="4"/>
        <v>-9.9867241993956135E-5</v>
      </c>
      <c r="N32" s="37">
        <f t="shared" si="0"/>
        <v>-2.0692749614803496E-5</v>
      </c>
      <c r="O32" s="37">
        <f t="shared" si="1"/>
        <v>-4.5429404244012872E-6</v>
      </c>
      <c r="R32" s="35" t="s">
        <v>96</v>
      </c>
      <c r="S32" s="45">
        <f>S21-S10*100</f>
        <v>-2.4399999999999998E-2</v>
      </c>
      <c r="T32" s="45">
        <f>T21-T10*100</f>
        <v>1.6046420922233295E-2</v>
      </c>
      <c r="U32" s="45">
        <f>U21-U10*100</f>
        <v>1.939543207150507E-3</v>
      </c>
      <c r="AD32" s="1">
        <v>1</v>
      </c>
      <c r="AE32" s="2" t="s">
        <v>90</v>
      </c>
      <c r="AF32" s="2">
        <v>3.9089839999999998</v>
      </c>
      <c r="AG32" s="2">
        <v>293.14</v>
      </c>
      <c r="AH32" s="2">
        <v>0.789134</v>
      </c>
      <c r="AI32" s="2">
        <v>123.514116</v>
      </c>
      <c r="AJ32" s="2">
        <v>112.656976</v>
      </c>
      <c r="AK32" s="2">
        <v>0.25104100000000001</v>
      </c>
      <c r="AL32" s="2">
        <v>0.85689899999999997</v>
      </c>
      <c r="AM32" s="2">
        <v>0.73696200000000001</v>
      </c>
    </row>
    <row r="33" spans="1:39" ht="25.5" x14ac:dyDescent="0.25">
      <c r="A33" s="1" t="s">
        <v>65</v>
      </c>
      <c r="B33" s="2">
        <v>0.36122900000000002</v>
      </c>
      <c r="C33" s="2">
        <v>0.45775399999999999</v>
      </c>
      <c r="D33" s="2">
        <v>0.85986600000000002</v>
      </c>
      <c r="F33" s="1" t="s">
        <v>65</v>
      </c>
      <c r="G33" s="3">
        <v>0.36114084365437987</v>
      </c>
      <c r="H33" s="3">
        <v>0.45773505352884314</v>
      </c>
      <c r="I33" s="3">
        <v>0.85986180443772053</v>
      </c>
      <c r="L33" s="1" t="s">
        <v>65</v>
      </c>
      <c r="M33" s="37">
        <f t="shared" si="4"/>
        <v>-8.8156345620149512E-5</v>
      </c>
      <c r="N33" s="37">
        <f t="shared" si="0"/>
        <v>-1.8946471156855438E-5</v>
      </c>
      <c r="O33" s="37">
        <f t="shared" si="1"/>
        <v>-4.1955622794853653E-6</v>
      </c>
      <c r="R33" t="s">
        <v>97</v>
      </c>
      <c r="AD33" s="1">
        <v>2</v>
      </c>
      <c r="AE33" s="2" t="s">
        <v>9</v>
      </c>
      <c r="AF33" s="2">
        <v>0.1</v>
      </c>
      <c r="AG33" s="2">
        <v>293.14</v>
      </c>
      <c r="AH33" s="2">
        <v>0.53235500000000002</v>
      </c>
      <c r="AI33" s="2">
        <v>125.767332</v>
      </c>
      <c r="AJ33" s="2">
        <v>11282.712375999999</v>
      </c>
      <c r="AK33" s="2">
        <v>9.6939999999999995E-3</v>
      </c>
      <c r="AL33" s="2">
        <v>0.98994700000000002</v>
      </c>
      <c r="AM33" s="2">
        <v>0.79183599999999998</v>
      </c>
    </row>
    <row r="34" spans="1:39" ht="25.5" x14ac:dyDescent="0.25">
      <c r="A34" s="1" t="s">
        <v>66</v>
      </c>
      <c r="B34" s="2">
        <v>0.34221699999999999</v>
      </c>
      <c r="C34" s="2">
        <v>0.43366100000000002</v>
      </c>
      <c r="D34" s="2">
        <v>0.81460999999999995</v>
      </c>
      <c r="F34" s="1" t="s">
        <v>66</v>
      </c>
      <c r="G34" s="3">
        <v>0.34213348886656608</v>
      </c>
      <c r="H34" s="3">
        <v>0.43364380849363876</v>
      </c>
      <c r="I34" s="3">
        <v>0.81460605822219057</v>
      </c>
      <c r="L34" s="1" t="s">
        <v>66</v>
      </c>
      <c r="M34" s="37">
        <f t="shared" si="4"/>
        <v>-8.3511133433911144E-5</v>
      </c>
      <c r="N34" s="37">
        <f t="shared" si="0"/>
        <v>-1.7191506361258213E-5</v>
      </c>
      <c r="O34" s="37">
        <f t="shared" si="1"/>
        <v>-3.9417778093797651E-6</v>
      </c>
      <c r="R34" t="s">
        <v>98</v>
      </c>
      <c r="AD34" s="1">
        <v>3</v>
      </c>
      <c r="AE34" s="2" t="s">
        <v>91</v>
      </c>
      <c r="AF34" s="2">
        <v>0.1</v>
      </c>
      <c r="AG34" s="2">
        <v>293.14</v>
      </c>
      <c r="AH34" s="2" t="s">
        <v>10</v>
      </c>
      <c r="AI34" s="2">
        <v>237.218908</v>
      </c>
      <c r="AJ34" s="2">
        <v>237.218908</v>
      </c>
      <c r="AK34" s="2">
        <v>9.7330000000000003E-3</v>
      </c>
      <c r="AL34" s="2">
        <v>0.98994700000000002</v>
      </c>
      <c r="AM34" s="2">
        <v>0.78859199999999996</v>
      </c>
    </row>
    <row r="35" spans="1:39" x14ac:dyDescent="0.25">
      <c r="A35" s="1" t="s">
        <v>67</v>
      </c>
      <c r="B35" s="2">
        <v>0.30019000000000001</v>
      </c>
      <c r="C35" s="2">
        <v>0.38040499999999999</v>
      </c>
      <c r="D35" s="2">
        <v>0.71457000000000004</v>
      </c>
      <c r="F35" s="1" t="s">
        <v>67</v>
      </c>
      <c r="G35" s="3">
        <v>0.30011707249168651</v>
      </c>
      <c r="H35" s="3">
        <v>0.38038927654143784</v>
      </c>
      <c r="I35" s="3">
        <v>0.71456666297699234</v>
      </c>
      <c r="L35" s="1" t="s">
        <v>67</v>
      </c>
      <c r="M35" s="37">
        <f t="shared" si="4"/>
        <v>-7.2927508313502809E-5</v>
      </c>
      <c r="N35" s="37">
        <f t="shared" si="0"/>
        <v>-1.5723458562155734E-5</v>
      </c>
      <c r="O35" s="37">
        <f t="shared" si="1"/>
        <v>-3.3370230076990026E-6</v>
      </c>
    </row>
    <row r="36" spans="1:39" x14ac:dyDescent="0.25">
      <c r="A36" s="1" t="s">
        <v>68</v>
      </c>
      <c r="B36" s="2">
        <v>0.27817599999999998</v>
      </c>
      <c r="C36" s="2">
        <v>0.35250799999999999</v>
      </c>
      <c r="D36" s="2">
        <v>0.66216799999999998</v>
      </c>
      <c r="F36" s="1" t="s">
        <v>68</v>
      </c>
      <c r="G36" s="3">
        <v>0.27810844505501431</v>
      </c>
      <c r="H36" s="3">
        <v>0.35249400954314525</v>
      </c>
      <c r="I36" s="3">
        <v>0.66216500740879347</v>
      </c>
      <c r="L36" s="1" t="s">
        <v>68</v>
      </c>
      <c r="M36" s="37">
        <f t="shared" si="4"/>
        <v>-6.7554944985670495E-5</v>
      </c>
      <c r="N36" s="37">
        <f t="shared" si="0"/>
        <v>-1.3990456854739985E-5</v>
      </c>
      <c r="O36" s="37">
        <f t="shared" si="1"/>
        <v>-2.9925912065076332E-6</v>
      </c>
    </row>
    <row r="37" spans="1:39" x14ac:dyDescent="0.25">
      <c r="A37" s="1" t="s">
        <v>69</v>
      </c>
      <c r="B37" s="2">
        <v>0.240152</v>
      </c>
      <c r="C37" s="2">
        <v>0.30432399999999998</v>
      </c>
      <c r="D37" s="2">
        <v>0.57165600000000005</v>
      </c>
      <c r="F37" s="1" t="s">
        <v>69</v>
      </c>
      <c r="G37" s="3">
        <v>0.24009363117125934</v>
      </c>
      <c r="H37" s="3">
        <v>0.30431138723858264</v>
      </c>
      <c r="I37" s="3">
        <v>0.57165326652430937</v>
      </c>
      <c r="L37" s="1" t="s">
        <v>69</v>
      </c>
      <c r="M37" s="37">
        <f t="shared" si="4"/>
        <v>-5.8368828740662515E-5</v>
      </c>
      <c r="N37" s="37">
        <f t="shared" si="0"/>
        <v>-1.2612761417341023E-5</v>
      </c>
      <c r="O37" s="37">
        <f t="shared" si="1"/>
        <v>-2.7334756906860491E-6</v>
      </c>
    </row>
    <row r="38" spans="1:39" x14ac:dyDescent="0.25">
      <c r="A38" s="1" t="s">
        <v>70</v>
      </c>
      <c r="B38" s="2">
        <v>0.234148</v>
      </c>
      <c r="C38" s="2">
        <v>0.29671599999999998</v>
      </c>
      <c r="D38" s="2">
        <v>0.557365</v>
      </c>
      <c r="F38" s="1" t="s">
        <v>70</v>
      </c>
      <c r="G38" s="3">
        <v>0.23409130939095821</v>
      </c>
      <c r="H38" s="3">
        <v>0.29670362663842409</v>
      </c>
      <c r="I38" s="3">
        <v>0.55736198009749849</v>
      </c>
      <c r="L38" s="1" t="s">
        <v>70</v>
      </c>
      <c r="M38" s="37">
        <f t="shared" si="4"/>
        <v>-5.6690609041787354E-5</v>
      </c>
      <c r="N38" s="37">
        <f t="shared" si="0"/>
        <v>-1.2373361575890307E-5</v>
      </c>
      <c r="O38" s="37">
        <f t="shared" si="1"/>
        <v>-3.0199025015109626E-6</v>
      </c>
    </row>
    <row r="39" spans="1:39" x14ac:dyDescent="0.25">
      <c r="A39" s="1" t="s">
        <v>71</v>
      </c>
      <c r="B39" s="2">
        <v>0.21213399999999999</v>
      </c>
      <c r="C39" s="2">
        <v>0.26881899999999997</v>
      </c>
      <c r="D39" s="2">
        <v>0.50496300000000005</v>
      </c>
      <c r="F39" s="1" t="s">
        <v>71</v>
      </c>
      <c r="G39" s="3">
        <v>0.21208272665776909</v>
      </c>
      <c r="H39" s="3">
        <v>0.26880841629899055</v>
      </c>
      <c r="I39" s="3">
        <v>0.50496043096188448</v>
      </c>
      <c r="L39" s="1" t="s">
        <v>71</v>
      </c>
      <c r="M39" s="37">
        <f t="shared" si="4"/>
        <v>-5.1273342230900854E-5</v>
      </c>
      <c r="N39" s="37">
        <f t="shared" si="0"/>
        <v>-1.0583701009425628E-5</v>
      </c>
      <c r="O39" s="37">
        <f t="shared" si="1"/>
        <v>-2.5690381155740738E-6</v>
      </c>
    </row>
    <row r="40" spans="1:39" x14ac:dyDescent="0.25">
      <c r="A40" s="1" t="s">
        <v>72</v>
      </c>
      <c r="B40" s="2">
        <v>0.19512399999999999</v>
      </c>
      <c r="C40" s="2">
        <v>0.24726300000000001</v>
      </c>
      <c r="D40" s="2">
        <v>0.46447100000000002</v>
      </c>
      <c r="F40" s="1" t="s">
        <v>72</v>
      </c>
      <c r="G40" s="3">
        <v>0.19507607625797077</v>
      </c>
      <c r="H40" s="3">
        <v>0.24725300331199948</v>
      </c>
      <c r="I40" s="3">
        <v>0.46446828126906586</v>
      </c>
      <c r="L40" s="1" t="s">
        <v>72</v>
      </c>
      <c r="M40" s="37">
        <f t="shared" si="4"/>
        <v>-4.7923742029221117E-5</v>
      </c>
      <c r="N40" s="37">
        <f t="shared" si="0"/>
        <v>-9.9966880005297742E-6</v>
      </c>
      <c r="O40" s="37">
        <f t="shared" si="1"/>
        <v>-2.718730934159197E-6</v>
      </c>
    </row>
    <row r="41" spans="1:39" x14ac:dyDescent="0.25">
      <c r="A41" s="1" t="s">
        <v>73</v>
      </c>
      <c r="B41" s="2">
        <v>0.180114</v>
      </c>
      <c r="C41" s="2">
        <v>0.228243</v>
      </c>
      <c r="D41" s="2">
        <v>0.42874200000000001</v>
      </c>
      <c r="F41" s="1" t="s">
        <v>73</v>
      </c>
      <c r="G41" s="3">
        <v>0.18007021965315423</v>
      </c>
      <c r="H41" s="3">
        <v>0.22823353570746424</v>
      </c>
      <c r="I41" s="3">
        <v>0.42873994102406321</v>
      </c>
      <c r="L41" s="1" t="s">
        <v>73</v>
      </c>
      <c r="M41" s="37">
        <f t="shared" si="4"/>
        <v>-4.3780346845767593E-5</v>
      </c>
      <c r="N41" s="37">
        <f t="shared" si="0"/>
        <v>-9.4642925357601992E-6</v>
      </c>
      <c r="O41" s="37">
        <f t="shared" si="1"/>
        <v>-2.0589759368028204E-6</v>
      </c>
    </row>
    <row r="42" spans="1:39" x14ac:dyDescent="0.25">
      <c r="A42" s="1" t="s">
        <v>74</v>
      </c>
      <c r="B42" s="2">
        <v>0.17010800000000001</v>
      </c>
      <c r="C42" s="2">
        <v>0.215563</v>
      </c>
      <c r="D42" s="2">
        <v>0.40492299999999998</v>
      </c>
      <c r="F42" s="1" t="s">
        <v>74</v>
      </c>
      <c r="G42" s="3">
        <v>0.17006635498637265</v>
      </c>
      <c r="H42" s="3">
        <v>0.21555394100248895</v>
      </c>
      <c r="I42" s="3">
        <v>0.40492114213822561</v>
      </c>
      <c r="L42" s="1" t="s">
        <v>74</v>
      </c>
      <c r="M42" s="37">
        <f t="shared" si="4"/>
        <v>-4.1645013627356064E-5</v>
      </c>
      <c r="N42" s="37">
        <f t="shared" si="0"/>
        <v>-9.0589975110522136E-6</v>
      </c>
      <c r="O42" s="37">
        <f t="shared" si="1"/>
        <v>-1.8578617743680859E-6</v>
      </c>
    </row>
    <row r="43" spans="1:39" x14ac:dyDescent="0.25">
      <c r="A43" s="1" t="s">
        <v>75</v>
      </c>
      <c r="B43" s="2">
        <v>2.4075250000000001</v>
      </c>
      <c r="C43" s="2">
        <v>3.0508459999999999</v>
      </c>
      <c r="D43" s="2">
        <v>5.7308510000000004</v>
      </c>
      <c r="F43" s="1" t="s">
        <v>75</v>
      </c>
      <c r="G43" s="3">
        <v>2.4069385291847674</v>
      </c>
      <c r="H43" s="3">
        <v>3.0507215007817852</v>
      </c>
      <c r="I43" s="3">
        <v>5.7308237033251004</v>
      </c>
      <c r="L43" s="1" t="s">
        <v>75</v>
      </c>
      <c r="M43" s="37">
        <f t="shared" si="4"/>
        <v>-5.8647081523277578E-4</v>
      </c>
      <c r="N43" s="37">
        <f t="shared" ref="N43" si="7">H43-C43</f>
        <v>-1.2449921821477972E-4</v>
      </c>
      <c r="O43" s="37">
        <f t="shared" ref="O43" si="8">I43-D43</f>
        <v>-2.7296674899979223E-5</v>
      </c>
    </row>
    <row r="50" spans="4:8" x14ac:dyDescent="0.25">
      <c r="D50" s="1"/>
      <c r="E50" s="1"/>
      <c r="F50" s="1"/>
      <c r="G50" s="1"/>
      <c r="H50" s="1"/>
    </row>
    <row r="51" spans="4:8" x14ac:dyDescent="0.25">
      <c r="D51" s="1"/>
      <c r="E51" s="2"/>
      <c r="F51" s="2"/>
      <c r="G51" s="2"/>
      <c r="H51" s="2"/>
    </row>
    <row r="52" spans="4:8" x14ac:dyDescent="0.25">
      <c r="D52" s="1"/>
      <c r="E52" s="2"/>
      <c r="F52" s="2"/>
      <c r="G52" s="2"/>
      <c r="H52" s="2"/>
    </row>
    <row r="53" spans="4:8" x14ac:dyDescent="0.25">
      <c r="D53" s="1"/>
      <c r="E53" s="2"/>
      <c r="F53" s="2"/>
      <c r="G53" s="2"/>
      <c r="H53" s="2"/>
    </row>
    <row r="54" spans="4:8" x14ac:dyDescent="0.25">
      <c r="D54" s="1"/>
      <c r="E54" s="2"/>
      <c r="F54" s="2"/>
      <c r="G54" s="2"/>
      <c r="H54" s="2"/>
    </row>
    <row r="55" spans="4:8" x14ac:dyDescent="0.25">
      <c r="D55" s="1"/>
      <c r="E55" s="2"/>
      <c r="F55" s="2"/>
      <c r="G55" s="2"/>
      <c r="H55" s="2"/>
    </row>
    <row r="56" spans="4:8" x14ac:dyDescent="0.25">
      <c r="D56" s="1"/>
      <c r="E56" s="2"/>
      <c r="F56" s="2"/>
      <c r="G56" s="2"/>
      <c r="H56" s="2"/>
    </row>
    <row r="57" spans="4:8" x14ac:dyDescent="0.25">
      <c r="D57" s="1"/>
      <c r="E57" s="2"/>
      <c r="F57" s="2"/>
      <c r="G57" s="2"/>
      <c r="H57" s="2"/>
    </row>
    <row r="58" spans="4:8" x14ac:dyDescent="0.25">
      <c r="D58" s="1"/>
      <c r="E58" s="2"/>
      <c r="F58" s="2"/>
      <c r="G58" s="2"/>
      <c r="H58" s="2"/>
    </row>
    <row r="59" spans="4:8" x14ac:dyDescent="0.25">
      <c r="D59" s="1"/>
      <c r="E59" s="2"/>
      <c r="F59" s="2"/>
      <c r="G59" s="2"/>
      <c r="H59" s="2"/>
    </row>
    <row r="60" spans="4:8" x14ac:dyDescent="0.25">
      <c r="D60" s="1"/>
      <c r="E60" s="2"/>
      <c r="F60" s="2"/>
      <c r="G60" s="2"/>
      <c r="H60" s="2"/>
    </row>
    <row r="61" spans="4:8" x14ac:dyDescent="0.25">
      <c r="D61" s="1"/>
      <c r="E61" s="2"/>
      <c r="F61" s="2"/>
      <c r="G61" s="2"/>
      <c r="H61" s="2"/>
    </row>
    <row r="62" spans="4:8" x14ac:dyDescent="0.25">
      <c r="D62" s="1"/>
      <c r="E62" s="2"/>
      <c r="F62" s="2"/>
      <c r="G62" s="2"/>
      <c r="H62" s="2"/>
    </row>
    <row r="63" spans="4:8" x14ac:dyDescent="0.25">
      <c r="D63" s="1"/>
      <c r="E63" s="2"/>
      <c r="F63" s="2"/>
      <c r="G63" s="2"/>
      <c r="H63" s="2"/>
    </row>
    <row r="64" spans="4:8" x14ac:dyDescent="0.25">
      <c r="D64" s="1"/>
      <c r="E64" s="2"/>
      <c r="F64" s="2"/>
      <c r="G64" s="2"/>
      <c r="H64" s="2"/>
    </row>
    <row r="65" spans="4:8" x14ac:dyDescent="0.25">
      <c r="D65" s="1"/>
      <c r="E65" s="2"/>
      <c r="F65" s="2"/>
      <c r="G65" s="2"/>
      <c r="H65" s="2"/>
    </row>
    <row r="66" spans="4:8" x14ac:dyDescent="0.25">
      <c r="D66" s="1"/>
      <c r="E66" s="2"/>
      <c r="F66" s="2"/>
      <c r="G66" s="2"/>
      <c r="H66" s="2"/>
    </row>
    <row r="67" spans="4:8" x14ac:dyDescent="0.25">
      <c r="D67" s="1"/>
      <c r="E67" s="2"/>
      <c r="F67" s="2"/>
      <c r="G67" s="2"/>
      <c r="H67" s="2"/>
    </row>
    <row r="68" spans="4:8" x14ac:dyDescent="0.25">
      <c r="D68" s="1"/>
      <c r="E68" s="2"/>
      <c r="F68" s="2"/>
      <c r="G68" s="2"/>
      <c r="H68" s="2"/>
    </row>
    <row r="69" spans="4:8" x14ac:dyDescent="0.25">
      <c r="D69" s="1"/>
      <c r="E69" s="2"/>
      <c r="F69" s="2"/>
      <c r="G69" s="2"/>
      <c r="H69" s="2"/>
    </row>
    <row r="70" spans="4:8" x14ac:dyDescent="0.25">
      <c r="D70" s="1"/>
      <c r="E70" s="2"/>
      <c r="F70" s="2"/>
      <c r="G70" s="2"/>
      <c r="H70" s="2"/>
    </row>
    <row r="71" spans="4:8" x14ac:dyDescent="0.25">
      <c r="D71" s="1"/>
      <c r="E71" s="2"/>
      <c r="F71" s="2"/>
      <c r="G71" s="2"/>
      <c r="H71" s="2"/>
    </row>
    <row r="72" spans="4:8" x14ac:dyDescent="0.25">
      <c r="D72" s="1"/>
      <c r="E72" s="2"/>
      <c r="F72" s="2"/>
      <c r="G72" s="2"/>
      <c r="H72" s="2"/>
    </row>
    <row r="73" spans="4:8" x14ac:dyDescent="0.25">
      <c r="D73" s="1"/>
      <c r="E73" s="2"/>
      <c r="F73" s="2"/>
      <c r="G73" s="2"/>
      <c r="H73" s="2"/>
    </row>
    <row r="74" spans="4:8" x14ac:dyDescent="0.25">
      <c r="D74" s="1"/>
      <c r="E74" s="2"/>
      <c r="F74" s="2"/>
      <c r="G74" s="2"/>
      <c r="H74" s="2"/>
    </row>
    <row r="75" spans="4:8" x14ac:dyDescent="0.25">
      <c r="D75" s="1"/>
      <c r="E75" s="2"/>
      <c r="F75" s="2"/>
      <c r="G75" s="2"/>
      <c r="H75" s="2"/>
    </row>
    <row r="76" spans="4:8" x14ac:dyDescent="0.25">
      <c r="D76" s="1"/>
      <c r="E76" s="2"/>
      <c r="F76" s="2"/>
      <c r="G76" s="2"/>
      <c r="H76" s="2"/>
    </row>
    <row r="77" spans="4:8" x14ac:dyDescent="0.25">
      <c r="D77" s="1"/>
      <c r="E77" s="2"/>
      <c r="F77" s="2"/>
      <c r="G77" s="2"/>
      <c r="H77" s="2"/>
    </row>
    <row r="78" spans="4:8" x14ac:dyDescent="0.25">
      <c r="D78" s="1"/>
      <c r="E78" s="2"/>
      <c r="F78" s="2"/>
      <c r="G78" s="2"/>
      <c r="H78" s="2"/>
    </row>
    <row r="79" spans="4:8" x14ac:dyDescent="0.25">
      <c r="D79" s="1"/>
      <c r="E79" s="2"/>
      <c r="F79" s="2"/>
      <c r="G79" s="2"/>
      <c r="H79" s="2"/>
    </row>
    <row r="80" spans="4:8" x14ac:dyDescent="0.25">
      <c r="D80" s="1"/>
      <c r="E80" s="2"/>
      <c r="F80" s="2"/>
      <c r="G80" s="2"/>
      <c r="H80" s="2"/>
    </row>
    <row r="81" spans="4:8" x14ac:dyDescent="0.25">
      <c r="D81" s="1"/>
      <c r="E81" s="2"/>
      <c r="F81" s="2"/>
      <c r="G81" s="2"/>
      <c r="H81" s="2"/>
    </row>
    <row r="82" spans="4:8" x14ac:dyDescent="0.25">
      <c r="D82" s="1"/>
      <c r="E82" s="2"/>
      <c r="F82" s="2"/>
      <c r="G82" s="2"/>
      <c r="H82" s="2"/>
    </row>
    <row r="83" spans="4:8" x14ac:dyDescent="0.25">
      <c r="D83" s="1"/>
      <c r="E83" s="2"/>
      <c r="F83" s="2"/>
      <c r="G83" s="2"/>
      <c r="H83" s="2"/>
    </row>
    <row r="84" spans="4:8" x14ac:dyDescent="0.25">
      <c r="D84" s="1"/>
      <c r="E84" s="2"/>
      <c r="F84" s="2"/>
      <c r="G84" s="2"/>
      <c r="H84" s="2"/>
    </row>
    <row r="85" spans="4:8" x14ac:dyDescent="0.25">
      <c r="D85" s="1"/>
      <c r="E85" s="2"/>
      <c r="F85" s="2"/>
      <c r="G85" s="2"/>
      <c r="H85" s="2"/>
    </row>
    <row r="86" spans="4:8" x14ac:dyDescent="0.25">
      <c r="D86" s="1"/>
      <c r="E86" s="2"/>
      <c r="F86" s="2"/>
      <c r="G86" s="2"/>
      <c r="H86" s="2"/>
    </row>
    <row r="87" spans="4:8" x14ac:dyDescent="0.25">
      <c r="D87" s="1"/>
      <c r="E87" s="2"/>
      <c r="F87" s="2"/>
      <c r="G87" s="2"/>
      <c r="H87" s="2"/>
    </row>
    <row r="88" spans="4:8" x14ac:dyDescent="0.25">
      <c r="D88" s="1"/>
      <c r="E88" s="2"/>
      <c r="F88" s="2"/>
      <c r="G88" s="2"/>
      <c r="H88" s="2"/>
    </row>
    <row r="89" spans="4:8" x14ac:dyDescent="0.25">
      <c r="D89" s="1"/>
      <c r="E89" s="2"/>
      <c r="F89" s="2"/>
      <c r="G89" s="2"/>
      <c r="H89" s="2"/>
    </row>
  </sheetData>
  <mergeCells count="5">
    <mergeCell ref="A3:D3"/>
    <mergeCell ref="G3:I3"/>
    <mergeCell ref="L2:O3"/>
    <mergeCell ref="R14:U14"/>
    <mergeCell ref="R3:U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68A3D-D32D-470F-9848-EEC1EB2FFDA3}">
  <dimension ref="F5:AA12"/>
  <sheetViews>
    <sheetView workbookViewId="0">
      <selection activeCell="Q7" sqref="Q7"/>
    </sheetView>
  </sheetViews>
  <sheetFormatPr defaultRowHeight="15" x14ac:dyDescent="0.25"/>
  <sheetData>
    <row r="5" spans="6:27" ht="25.5" x14ac:dyDescent="0.25">
      <c r="F5" s="1"/>
      <c r="G5" s="1" t="s">
        <v>0</v>
      </c>
      <c r="H5" s="1" t="s">
        <v>1</v>
      </c>
      <c r="I5" s="1" t="s">
        <v>2</v>
      </c>
      <c r="J5" s="1" t="s">
        <v>3</v>
      </c>
      <c r="K5" s="1" t="s">
        <v>99</v>
      </c>
      <c r="L5" s="1" t="s">
        <v>4</v>
      </c>
      <c r="M5" s="1" t="s">
        <v>5</v>
      </c>
      <c r="N5" s="1" t="s">
        <v>6</v>
      </c>
      <c r="O5" s="1" t="s">
        <v>7</v>
      </c>
      <c r="P5" s="1" t="s">
        <v>8</v>
      </c>
    </row>
    <row r="6" spans="6:27" ht="38.25" x14ac:dyDescent="0.25">
      <c r="F6" s="1">
        <v>0</v>
      </c>
      <c r="G6" s="2" t="s">
        <v>11</v>
      </c>
      <c r="H6" s="2">
        <v>9.8750979999999995</v>
      </c>
      <c r="I6" s="2">
        <v>323.14</v>
      </c>
      <c r="J6" s="2">
        <v>0.99935200000000002</v>
      </c>
      <c r="K6" s="2">
        <v>6.4800000000000003E-4</v>
      </c>
      <c r="L6" s="2">
        <v>138.341869</v>
      </c>
      <c r="M6" s="2">
        <v>0.13540199999999999</v>
      </c>
      <c r="N6" s="2">
        <v>0.50883400000000001</v>
      </c>
      <c r="O6" s="2">
        <v>0.76809099999999997</v>
      </c>
      <c r="P6" s="2">
        <v>0.68852199999999997</v>
      </c>
      <c r="Q6">
        <f>L6</f>
        <v>138.341869</v>
      </c>
      <c r="R6">
        <f t="shared" ref="R6:R7" si="0">Q6/$Q$12</f>
        <v>1.4502535831778194</v>
      </c>
      <c r="W6" s="51">
        <v>9.8750976000000001</v>
      </c>
      <c r="X6" s="51">
        <v>1.4568706675543304</v>
      </c>
      <c r="AA6" s="37">
        <f>X6-R6</f>
        <v>6.6170843765109844E-3</v>
      </c>
    </row>
    <row r="7" spans="6:27" ht="38.25" x14ac:dyDescent="0.25">
      <c r="F7" s="1">
        <v>1</v>
      </c>
      <c r="G7" s="2" t="s">
        <v>32</v>
      </c>
      <c r="H7" s="2">
        <v>4.9875489999999996</v>
      </c>
      <c r="I7" s="2">
        <v>323.14</v>
      </c>
      <c r="J7" s="2">
        <v>0.764069</v>
      </c>
      <c r="K7" s="2">
        <v>0.235931</v>
      </c>
      <c r="L7" s="2">
        <v>124.880087</v>
      </c>
      <c r="M7" s="2">
        <v>107.97955899999999</v>
      </c>
      <c r="N7" s="2">
        <v>0.30342200000000003</v>
      </c>
      <c r="O7" s="2">
        <v>0.84965500000000005</v>
      </c>
      <c r="P7" s="2">
        <v>0.72214299999999998</v>
      </c>
      <c r="Q7">
        <f>L7*J6</f>
        <v>124.799164703624</v>
      </c>
      <c r="R7">
        <f t="shared" si="0"/>
        <v>1.3082838702217443</v>
      </c>
      <c r="W7" s="51">
        <v>4.9875487999999999</v>
      </c>
      <c r="X7" s="51">
        <v>1.3141797372046775</v>
      </c>
      <c r="AA7" s="37">
        <f t="shared" ref="AA7:AA9" si="1">X7-R7</f>
        <v>5.8958669829332067E-3</v>
      </c>
    </row>
    <row r="8" spans="6:27" ht="25.5" x14ac:dyDescent="0.25">
      <c r="F8" s="1">
        <v>2</v>
      </c>
      <c r="G8" s="2" t="s">
        <v>20</v>
      </c>
      <c r="H8" s="2">
        <v>0.1</v>
      </c>
      <c r="I8" s="2">
        <v>323.14</v>
      </c>
      <c r="J8" s="2">
        <v>0.49923299999999998</v>
      </c>
      <c r="K8" s="2">
        <v>0.50076699999999996</v>
      </c>
      <c r="L8" s="2">
        <v>126.22259099999999</v>
      </c>
      <c r="M8" s="2">
        <v>13328.339576</v>
      </c>
      <c r="N8" s="2">
        <v>9.4109999999999992E-3</v>
      </c>
      <c r="O8" s="2">
        <v>0.99069399999999996</v>
      </c>
      <c r="P8" s="2">
        <v>0.78619700000000003</v>
      </c>
      <c r="Q8">
        <f>L8*J7</f>
        <v>96.442768882778992</v>
      </c>
      <c r="R8">
        <f>Q8/$Q$12</f>
        <v>1.011020540309749</v>
      </c>
      <c r="W8" s="51">
        <v>0.1</v>
      </c>
      <c r="X8" s="51">
        <v>1.0148685827876882</v>
      </c>
      <c r="AA8" s="37">
        <f t="shared" si="1"/>
        <v>3.8480424779392397E-3</v>
      </c>
    </row>
    <row r="9" spans="6:27" ht="38.25" x14ac:dyDescent="0.25">
      <c r="F9" s="1">
        <v>3</v>
      </c>
      <c r="G9" s="2" t="s">
        <v>100</v>
      </c>
      <c r="H9" s="2">
        <v>0.101325</v>
      </c>
      <c r="I9" s="2">
        <v>293.14</v>
      </c>
      <c r="J9" s="2" t="s">
        <v>10</v>
      </c>
      <c r="K9" s="2" t="s">
        <v>10</v>
      </c>
      <c r="L9" s="2">
        <v>250.08967999999999</v>
      </c>
      <c r="M9" s="2">
        <v>250.08967999999999</v>
      </c>
      <c r="N9" s="2">
        <v>1.0397E-2</v>
      </c>
      <c r="O9" s="2">
        <v>0.99073999999999995</v>
      </c>
      <c r="P9" s="2">
        <v>0.794821</v>
      </c>
      <c r="Q9">
        <f t="shared" ref="Q9" si="2">L9*J8</f>
        <v>124.85302121543999</v>
      </c>
      <c r="R9">
        <f>Q12/Q12</f>
        <v>1</v>
      </c>
      <c r="W9" s="51">
        <v>0.101325</v>
      </c>
      <c r="X9" s="51">
        <v>1</v>
      </c>
      <c r="AA9" s="37">
        <f t="shared" si="1"/>
        <v>0</v>
      </c>
    </row>
    <row r="12" spans="6:27" x14ac:dyDescent="0.25">
      <c r="Q12">
        <f>H8*Q8*N9*I9/(H9*N8*I8)</f>
        <v>95.391502978991468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CB074-2D7D-4A5B-9DD5-1FA57F5567FA}">
  <dimension ref="B2:N13"/>
  <sheetViews>
    <sheetView workbookViewId="0">
      <selection activeCell="M5" sqref="M5"/>
    </sheetView>
  </sheetViews>
  <sheetFormatPr defaultRowHeight="15" x14ac:dyDescent="0.25"/>
  <sheetData>
    <row r="2" spans="2:14" ht="25.5" x14ac:dyDescent="0.25">
      <c r="B2" s="1"/>
      <c r="C2" s="1" t="s">
        <v>0</v>
      </c>
      <c r="D2" s="1" t="s">
        <v>1</v>
      </c>
      <c r="E2" s="1" t="s">
        <v>2</v>
      </c>
      <c r="F2" s="1" t="s">
        <v>3</v>
      </c>
      <c r="G2" s="1" t="s">
        <v>99</v>
      </c>
      <c r="H2" s="1" t="s">
        <v>4</v>
      </c>
      <c r="I2" s="1" t="s">
        <v>5</v>
      </c>
      <c r="J2" s="1" t="s">
        <v>6</v>
      </c>
      <c r="K2" s="1" t="s">
        <v>7</v>
      </c>
      <c r="L2" s="1" t="s">
        <v>8</v>
      </c>
    </row>
    <row r="3" spans="2:14" ht="38.25" x14ac:dyDescent="0.25">
      <c r="B3" s="1">
        <v>0</v>
      </c>
      <c r="C3" s="2" t="s">
        <v>11</v>
      </c>
      <c r="D3" s="2">
        <v>9.8750979999999995</v>
      </c>
      <c r="E3" s="2">
        <v>323.14</v>
      </c>
      <c r="F3" s="2">
        <v>0.99935200000000002</v>
      </c>
      <c r="G3" s="2">
        <v>6.4800000000000003E-4</v>
      </c>
      <c r="H3" s="2">
        <v>138.341869</v>
      </c>
      <c r="I3" s="2">
        <v>0.13540199999999999</v>
      </c>
      <c r="J3" s="2">
        <v>0.50883400000000001</v>
      </c>
      <c r="K3" s="2">
        <v>0.76809099999999997</v>
      </c>
      <c r="L3" s="2">
        <v>0.68852199999999997</v>
      </c>
      <c r="M3">
        <f>H3</f>
        <v>138.341869</v>
      </c>
      <c r="N3">
        <f>M3/$M$9</f>
        <v>1.2116648467507254</v>
      </c>
    </row>
    <row r="4" spans="2:14" ht="38.25" x14ac:dyDescent="0.25">
      <c r="B4" s="1">
        <v>1</v>
      </c>
      <c r="C4" s="2" t="s">
        <v>101</v>
      </c>
      <c r="D4" s="2">
        <v>6.6167319999999998</v>
      </c>
      <c r="E4" s="2">
        <v>323.14</v>
      </c>
      <c r="F4" s="2">
        <v>0.84305099999999999</v>
      </c>
      <c r="G4" s="2">
        <v>0.15694900000000001</v>
      </c>
      <c r="H4" s="2">
        <v>129.502309</v>
      </c>
      <c r="I4" s="2">
        <v>52.173658000000003</v>
      </c>
      <c r="J4" s="2">
        <v>0.378326</v>
      </c>
      <c r="K4" s="2">
        <v>0.81872</v>
      </c>
      <c r="L4" s="2">
        <v>0.71028599999999997</v>
      </c>
      <c r="M4">
        <f>H4</f>
        <v>129.502309</v>
      </c>
      <c r="N4">
        <f t="shared" ref="N4:N6" si="0">M4/$M$9</f>
        <v>1.1342437146656597</v>
      </c>
    </row>
    <row r="5" spans="2:14" ht="51" x14ac:dyDescent="0.25">
      <c r="B5" s="1">
        <v>2</v>
      </c>
      <c r="C5" s="2" t="s">
        <v>102</v>
      </c>
      <c r="D5" s="2">
        <v>3.3583660000000002</v>
      </c>
      <c r="E5" s="2">
        <v>323.14</v>
      </c>
      <c r="F5" s="2">
        <v>0.81933599999999995</v>
      </c>
      <c r="G5" s="2">
        <v>0.18066399999999999</v>
      </c>
      <c r="H5" s="2">
        <v>143.01609199999999</v>
      </c>
      <c r="I5" s="2">
        <v>127.407161</v>
      </c>
      <c r="J5" s="2">
        <v>0.218198</v>
      </c>
      <c r="K5" s="2">
        <v>0.88155600000000001</v>
      </c>
      <c r="L5" s="2">
        <v>0.73378699999999997</v>
      </c>
      <c r="M5">
        <f>H5*F4</f>
        <v>120.56985937669199</v>
      </c>
      <c r="N5">
        <f t="shared" si="0"/>
        <v>1.0560090104349826</v>
      </c>
    </row>
    <row r="6" spans="2:14" ht="25.5" x14ac:dyDescent="0.25">
      <c r="B6" s="1">
        <v>3</v>
      </c>
      <c r="C6" s="2" t="s">
        <v>20</v>
      </c>
      <c r="D6" s="2">
        <v>0.1</v>
      </c>
      <c r="E6" s="2">
        <v>323.14</v>
      </c>
      <c r="F6" s="2">
        <v>0.56282799999999999</v>
      </c>
      <c r="G6" s="2">
        <v>0.43717200000000001</v>
      </c>
      <c r="H6" s="2">
        <v>140.90502799999999</v>
      </c>
      <c r="I6" s="2">
        <v>11620.830496</v>
      </c>
      <c r="J6" s="2">
        <v>9.3189999999999992E-3</v>
      </c>
      <c r="K6" s="2">
        <v>0.98942799999999997</v>
      </c>
      <c r="L6" s="2">
        <v>0.784914</v>
      </c>
      <c r="M6">
        <f>H6*F5</f>
        <v>115.44856202140798</v>
      </c>
      <c r="N6">
        <f t="shared" si="0"/>
        <v>1.0111542168716898</v>
      </c>
    </row>
    <row r="7" spans="2:14" ht="38.25" x14ac:dyDescent="0.25">
      <c r="B7" s="1">
        <v>4</v>
      </c>
      <c r="C7" s="2" t="s">
        <v>100</v>
      </c>
      <c r="D7" s="2">
        <v>0.101325</v>
      </c>
      <c r="E7" s="2">
        <v>293.14</v>
      </c>
      <c r="F7" s="2" t="s">
        <v>10</v>
      </c>
      <c r="G7" s="2" t="s">
        <v>10</v>
      </c>
      <c r="H7" s="2">
        <v>247.596091</v>
      </c>
      <c r="I7" s="2">
        <v>247.596091</v>
      </c>
      <c r="J7" s="2">
        <v>1.0293999999999999E-2</v>
      </c>
      <c r="K7" s="2">
        <v>0.989151</v>
      </c>
      <c r="L7" s="2">
        <v>0.79364999999999997</v>
      </c>
      <c r="M7">
        <f t="shared" ref="M7" si="1">H7*F6</f>
        <v>139.354012705348</v>
      </c>
    </row>
    <row r="8" spans="2:14" x14ac:dyDescent="0.25">
      <c r="B8" s="1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4" x14ac:dyDescent="0.25">
      <c r="B9" s="1"/>
      <c r="C9" s="2"/>
      <c r="D9" s="2"/>
      <c r="E9" s="2"/>
      <c r="F9" s="2"/>
      <c r="G9" s="2"/>
      <c r="H9" s="2"/>
      <c r="I9" s="2"/>
      <c r="J9" s="2"/>
      <c r="K9" s="2"/>
      <c r="L9" s="2"/>
      <c r="M9">
        <f>D6*M6*J7*E7/(D7*J6*E6)</f>
        <v>114.17502898675821</v>
      </c>
    </row>
    <row r="10" spans="2:14" x14ac:dyDescent="0.25">
      <c r="B10" s="1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2:14" x14ac:dyDescent="0.25">
      <c r="B11" s="1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2:14" x14ac:dyDescent="0.25">
      <c r="B12" s="1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2:14" x14ac:dyDescent="0.25">
      <c r="B13" s="1"/>
      <c r="C13" s="2"/>
      <c r="D13" s="2"/>
      <c r="E13" s="2"/>
      <c r="F13" s="2"/>
      <c r="G13" s="2"/>
      <c r="H13" s="2"/>
      <c r="I13" s="2"/>
      <c r="J13" s="2"/>
      <c r="K13" s="2"/>
      <c r="L13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7C6E-CA1F-4DBE-96EF-DA7EDBAA4EC1}">
  <dimension ref="A1:Y14"/>
  <sheetViews>
    <sheetView workbookViewId="0">
      <selection activeCell="M5" sqref="M5"/>
    </sheetView>
  </sheetViews>
  <sheetFormatPr defaultRowHeight="15" x14ac:dyDescent="0.25"/>
  <sheetData>
    <row r="1" spans="1:25" x14ac:dyDescent="0.25">
      <c r="A1" s="49" t="s">
        <v>22</v>
      </c>
      <c r="B1" s="49"/>
      <c r="C1" s="49"/>
      <c r="D1" s="49"/>
      <c r="E1" s="49"/>
      <c r="F1" s="49"/>
      <c r="G1" s="49"/>
      <c r="H1" s="49"/>
      <c r="I1" s="49"/>
      <c r="J1" s="49"/>
      <c r="K1" s="49"/>
    </row>
    <row r="2" spans="1:25" x14ac:dyDescent="0.25">
      <c r="A2" s="50"/>
      <c r="B2" s="50"/>
      <c r="C2" s="50"/>
      <c r="D2" s="50"/>
      <c r="E2" s="50"/>
      <c r="F2" s="50"/>
      <c r="G2" s="50"/>
      <c r="H2" s="50"/>
      <c r="I2" s="50"/>
      <c r="J2" s="50"/>
      <c r="K2" s="50"/>
    </row>
    <row r="3" spans="1:25" ht="25.5" x14ac:dyDescent="0.25">
      <c r="A3" s="1"/>
      <c r="B3" s="1" t="s">
        <v>0</v>
      </c>
      <c r="C3" s="1" t="s">
        <v>1</v>
      </c>
      <c r="D3" s="1" t="s">
        <v>21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</row>
    <row r="4" spans="1:25" ht="38.25" x14ac:dyDescent="0.25">
      <c r="A4" s="1">
        <v>0</v>
      </c>
      <c r="B4" s="2" t="s">
        <v>11</v>
      </c>
      <c r="C4" s="2">
        <v>9.8750979999999995</v>
      </c>
      <c r="D4" s="2">
        <f>C4*10</f>
        <v>98.750979999999998</v>
      </c>
      <c r="E4" s="2">
        <v>323.14</v>
      </c>
      <c r="F4" s="2">
        <v>0.99935200000000002</v>
      </c>
      <c r="G4" s="2">
        <v>138.341869</v>
      </c>
      <c r="H4" s="2">
        <v>0.13540199999999999</v>
      </c>
      <c r="I4" s="2">
        <v>0.50883400000000001</v>
      </c>
      <c r="J4" s="2">
        <v>0.76809099999999997</v>
      </c>
      <c r="K4" s="2">
        <v>0.68852199999999997</v>
      </c>
    </row>
    <row r="5" spans="1:25" ht="38.25" x14ac:dyDescent="0.25">
      <c r="A5" s="1">
        <v>1</v>
      </c>
      <c r="B5" s="2" t="s">
        <v>12</v>
      </c>
      <c r="C5" s="2">
        <v>8.7889759999999999</v>
      </c>
      <c r="D5" s="2">
        <f t="shared" ref="D5:D14" si="0">C5*10</f>
        <v>87.889759999999995</v>
      </c>
      <c r="E5" s="2">
        <v>323.14</v>
      </c>
      <c r="F5" s="2">
        <v>0.94683700000000004</v>
      </c>
      <c r="G5" s="2">
        <v>135.423597</v>
      </c>
      <c r="H5" s="2">
        <v>12.729552</v>
      </c>
      <c r="I5" s="2">
        <v>0.46790399999999999</v>
      </c>
      <c r="J5" s="2">
        <v>0.78332299999999999</v>
      </c>
      <c r="K5" s="2">
        <v>0.69561399999999995</v>
      </c>
      <c r="X5" s="3"/>
      <c r="Y5" s="7"/>
    </row>
    <row r="6" spans="1:25" ht="38.25" x14ac:dyDescent="0.25">
      <c r="A6" s="1">
        <v>2</v>
      </c>
      <c r="B6" s="2" t="s">
        <v>13</v>
      </c>
      <c r="C6" s="2">
        <v>7.7028540000000003</v>
      </c>
      <c r="D6" s="2">
        <f t="shared" si="0"/>
        <v>77.028540000000007</v>
      </c>
      <c r="E6" s="2">
        <v>323.14</v>
      </c>
      <c r="F6" s="2">
        <v>0.94567800000000002</v>
      </c>
      <c r="G6" s="2">
        <f>M6</f>
        <v>0</v>
      </c>
      <c r="H6" s="2">
        <v>15.157303000000001</v>
      </c>
      <c r="I6" s="2">
        <v>0.42430499999999999</v>
      </c>
      <c r="J6" s="2">
        <v>0.80001599999999995</v>
      </c>
      <c r="K6" s="2">
        <v>0.70275600000000005</v>
      </c>
      <c r="X6" s="3"/>
      <c r="Y6" s="7"/>
    </row>
    <row r="7" spans="1:25" ht="38.25" x14ac:dyDescent="0.25">
      <c r="A7" s="1">
        <v>3</v>
      </c>
      <c r="B7" s="2" t="s">
        <v>14</v>
      </c>
      <c r="C7" s="2">
        <v>6.6167319999999998</v>
      </c>
      <c r="D7" s="2">
        <f t="shared" si="0"/>
        <v>66.167320000000004</v>
      </c>
      <c r="E7" s="2">
        <v>323.14</v>
      </c>
      <c r="F7" s="2">
        <v>0.94418599999999997</v>
      </c>
      <c r="G7" s="2">
        <f>M7</f>
        <v>0</v>
      </c>
      <c r="H7" s="2">
        <v>18.538464999999999</v>
      </c>
      <c r="I7" s="2">
        <v>0.377747</v>
      </c>
      <c r="J7" s="2">
        <v>0.81803400000000004</v>
      </c>
      <c r="K7" s="2">
        <v>0.70996400000000004</v>
      </c>
      <c r="X7" s="3"/>
      <c r="Y7" s="7"/>
    </row>
    <row r="8" spans="1:25" ht="38.25" x14ac:dyDescent="0.25">
      <c r="A8" s="1">
        <v>4</v>
      </c>
      <c r="B8" s="2" t="s">
        <v>15</v>
      </c>
      <c r="C8" s="2">
        <v>5.5306100000000002</v>
      </c>
      <c r="D8" s="2">
        <f t="shared" si="0"/>
        <v>55.306100000000001</v>
      </c>
      <c r="E8" s="2">
        <v>323.14</v>
      </c>
      <c r="F8" s="2">
        <v>0.94218900000000005</v>
      </c>
      <c r="G8" s="2">
        <f>M8</f>
        <v>0</v>
      </c>
      <c r="H8" s="2">
        <v>23.512172</v>
      </c>
      <c r="I8" s="2">
        <v>0.32789200000000002</v>
      </c>
      <c r="J8" s="2">
        <v>0.83724900000000002</v>
      </c>
      <c r="K8" s="2">
        <v>0.71727099999999999</v>
      </c>
      <c r="X8" s="3"/>
      <c r="Y8" s="7"/>
    </row>
    <row r="9" spans="1:25" ht="38.25" x14ac:dyDescent="0.25">
      <c r="A9" s="1">
        <v>5</v>
      </c>
      <c r="B9" s="2" t="s">
        <v>16</v>
      </c>
      <c r="C9" s="2">
        <v>4.4444879999999998</v>
      </c>
      <c r="D9" s="2">
        <f t="shared" si="0"/>
        <v>44.444879999999998</v>
      </c>
      <c r="E9" s="2">
        <v>323.14</v>
      </c>
      <c r="F9" s="2">
        <v>0.93932599999999999</v>
      </c>
      <c r="G9" s="2">
        <f>M9</f>
        <v>0</v>
      </c>
      <c r="H9" s="2">
        <v>31.451965999999999</v>
      </c>
      <c r="I9" s="2">
        <v>0.27434900000000001</v>
      </c>
      <c r="J9" s="2">
        <v>0.85755899999999996</v>
      </c>
      <c r="K9" s="2">
        <v>0.724742</v>
      </c>
      <c r="X9" s="3"/>
      <c r="Y9" s="7"/>
    </row>
    <row r="10" spans="1:25" ht="38.25" x14ac:dyDescent="0.25">
      <c r="A10" s="1">
        <v>6</v>
      </c>
      <c r="B10" s="2" t="s">
        <v>17</v>
      </c>
      <c r="C10" s="2">
        <v>3.3583660000000002</v>
      </c>
      <c r="D10" s="2">
        <f t="shared" si="0"/>
        <v>33.583660000000002</v>
      </c>
      <c r="E10" s="2">
        <v>323.14</v>
      </c>
      <c r="F10" s="2">
        <v>0.93470600000000004</v>
      </c>
      <c r="G10" s="2">
        <f t="shared" ref="G10:G13" si="1">M10</f>
        <v>0</v>
      </c>
      <c r="H10" s="2">
        <v>45.908934000000002</v>
      </c>
      <c r="I10" s="2">
        <v>0.21665499999999999</v>
      </c>
      <c r="J10" s="2">
        <v>0.87892800000000004</v>
      </c>
      <c r="K10" s="2">
        <v>0.73252700000000004</v>
      </c>
      <c r="X10" s="3"/>
      <c r="Y10" s="7"/>
    </row>
    <row r="11" spans="1:25" ht="51" x14ac:dyDescent="0.25">
      <c r="A11" s="1">
        <v>7</v>
      </c>
      <c r="B11" s="2" t="s">
        <v>18</v>
      </c>
      <c r="C11" s="2">
        <v>2.2722440000000002</v>
      </c>
      <c r="D11" s="2">
        <f t="shared" si="0"/>
        <v>22.722440000000002</v>
      </c>
      <c r="E11" s="2">
        <v>323.14</v>
      </c>
      <c r="F11" s="2">
        <v>0.92551600000000001</v>
      </c>
      <c r="G11" s="2">
        <f t="shared" si="1"/>
        <v>0</v>
      </c>
      <c r="H11" s="2">
        <v>79.400073000000006</v>
      </c>
      <c r="I11" s="2">
        <v>0.15425</v>
      </c>
      <c r="J11" s="2">
        <v>0.90159999999999996</v>
      </c>
      <c r="K11" s="2">
        <v>0.74104400000000004</v>
      </c>
      <c r="X11" s="3"/>
      <c r="Y11" s="7"/>
    </row>
    <row r="12" spans="1:25" ht="38.25" x14ac:dyDescent="0.25">
      <c r="A12" s="1">
        <v>8</v>
      </c>
      <c r="B12" s="2" t="s">
        <v>19</v>
      </c>
      <c r="C12" s="2">
        <v>1.1861219999999999</v>
      </c>
      <c r="D12" s="2">
        <f t="shared" si="0"/>
        <v>11.861219999999999</v>
      </c>
      <c r="E12" s="2">
        <v>323.14</v>
      </c>
      <c r="F12" s="2">
        <v>0.89744699999999999</v>
      </c>
      <c r="G12" s="2">
        <f t="shared" si="1"/>
        <v>0</v>
      </c>
      <c r="H12" s="2">
        <v>215.546561</v>
      </c>
      <c r="I12" s="2">
        <v>8.6421999999999999E-2</v>
      </c>
      <c r="J12" s="2">
        <v>0.92794699999999997</v>
      </c>
      <c r="K12" s="2">
        <v>0.75207400000000002</v>
      </c>
      <c r="X12" s="3"/>
      <c r="Y12" s="7"/>
    </row>
    <row r="13" spans="1:25" ht="25.5" x14ac:dyDescent="0.25">
      <c r="A13" s="4">
        <v>9</v>
      </c>
      <c r="B13" s="5" t="s">
        <v>20</v>
      </c>
      <c r="C13" s="5">
        <v>0.1</v>
      </c>
      <c r="D13" s="2">
        <f t="shared" si="0"/>
        <v>1</v>
      </c>
      <c r="E13" s="5">
        <v>323.14</v>
      </c>
      <c r="F13" s="5">
        <v>0.69476700000000002</v>
      </c>
      <c r="G13" s="5">
        <f t="shared" si="1"/>
        <v>0</v>
      </c>
      <c r="H13" s="5">
        <v>8089.6172829999996</v>
      </c>
      <c r="I13" s="5">
        <v>9.136E-3</v>
      </c>
      <c r="J13" s="5">
        <v>0.98649600000000004</v>
      </c>
      <c r="K13" s="5">
        <v>0.78235399999999999</v>
      </c>
      <c r="X13" s="3"/>
      <c r="Y13" s="7"/>
    </row>
    <row r="14" spans="1:25" ht="25.5" x14ac:dyDescent="0.25">
      <c r="A14" s="1">
        <v>10</v>
      </c>
      <c r="B14" s="2" t="s">
        <v>9</v>
      </c>
      <c r="C14" s="2">
        <v>0.1</v>
      </c>
      <c r="D14" s="2">
        <f t="shared" si="0"/>
        <v>1</v>
      </c>
      <c r="E14" s="2">
        <v>293.14</v>
      </c>
      <c r="F14" s="2" t="s">
        <v>10</v>
      </c>
      <c r="G14" s="2">
        <v>242.66122999999999</v>
      </c>
      <c r="H14" s="2" t="s">
        <v>10</v>
      </c>
      <c r="I14" s="2">
        <v>9.9570000000000006E-3</v>
      </c>
      <c r="J14" s="2">
        <v>0.98512999999999995</v>
      </c>
      <c r="K14" s="2">
        <v>0.79131399999999996</v>
      </c>
      <c r="X14" s="3"/>
      <c r="Y14" s="7"/>
    </row>
  </sheetData>
  <mergeCells count="1">
    <mergeCell ref="A1:K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06784-2D0B-4C07-9FF5-E8A0CA774B69}">
  <dimension ref="A1:B12"/>
  <sheetViews>
    <sheetView workbookViewId="0">
      <selection activeCell="B3" sqref="B3:B12"/>
    </sheetView>
  </sheetViews>
  <sheetFormatPr defaultRowHeight="15" x14ac:dyDescent="0.25"/>
  <sheetData>
    <row r="1" spans="1:2" x14ac:dyDescent="0.25">
      <c r="A1" t="s">
        <v>23</v>
      </c>
      <c r="B1" t="s">
        <v>24</v>
      </c>
    </row>
    <row r="2" spans="1:2" x14ac:dyDescent="0.25">
      <c r="A2">
        <v>11</v>
      </c>
    </row>
    <row r="3" spans="1:2" x14ac:dyDescent="0.25">
      <c r="A3">
        <v>10</v>
      </c>
      <c r="B3">
        <v>151.55628738405522</v>
      </c>
    </row>
    <row r="4" spans="1:2" x14ac:dyDescent="0.25">
      <c r="A4">
        <v>9</v>
      </c>
      <c r="B4">
        <v>95.821022890668687</v>
      </c>
    </row>
    <row r="5" spans="1:2" x14ac:dyDescent="0.25">
      <c r="A5">
        <v>8</v>
      </c>
      <c r="B5">
        <v>77.095036362749241</v>
      </c>
    </row>
    <row r="6" spans="1:2" x14ac:dyDescent="0.25">
      <c r="A6">
        <v>7</v>
      </c>
      <c r="B6">
        <v>63.494395172710476</v>
      </c>
    </row>
    <row r="7" spans="1:2" x14ac:dyDescent="0.25">
      <c r="A7">
        <v>6</v>
      </c>
      <c r="B7">
        <v>51.571839683694279</v>
      </c>
    </row>
    <row r="8" spans="1:2" x14ac:dyDescent="0.25">
      <c r="A8">
        <v>5</v>
      </c>
      <c r="B8">
        <v>40.492778887012534</v>
      </c>
    </row>
    <row r="9" spans="1:2" x14ac:dyDescent="0.25">
      <c r="A9">
        <v>4</v>
      </c>
      <c r="B9">
        <v>29.936555635642787</v>
      </c>
    </row>
    <row r="10" spans="1:2" x14ac:dyDescent="0.25">
      <c r="A10">
        <v>3</v>
      </c>
      <c r="B10">
        <v>19.744931923067984</v>
      </c>
    </row>
    <row r="11" spans="1:2" x14ac:dyDescent="0.25">
      <c r="A11">
        <v>2</v>
      </c>
      <c r="B11">
        <v>9.8258301744977636</v>
      </c>
    </row>
    <row r="12" spans="1:2" x14ac:dyDescent="0.25">
      <c r="A12">
        <v>1</v>
      </c>
      <c r="B12">
        <v>0.11831811348166743</v>
      </c>
    </row>
  </sheetData>
  <autoFilter ref="A1:B12" xr:uid="{36506784-2D0B-4C07-9FF5-E8A0CA774B69}">
    <sortState xmlns:xlrd2="http://schemas.microsoft.com/office/spreadsheetml/2017/richdata2" ref="A2:B12">
      <sortCondition descending="1" ref="A1:A1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Лист1</vt:lpstr>
      <vt:lpstr>Лист7</vt:lpstr>
      <vt:lpstr>Лист8</vt:lpstr>
      <vt:lpstr>Лист6</vt:lpstr>
      <vt:lpstr>3 ступени</vt:lpstr>
      <vt:lpstr>Лист5</vt:lpstr>
      <vt:lpstr>Лист4</vt:lpstr>
      <vt:lpstr>Лист3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2025-11-11T21:33:39Z</dcterms:created>
  <dcterms:modified xsi:type="dcterms:W3CDTF">2025-11-16T13:01:30Z</dcterms:modified>
</cp:coreProperties>
</file>