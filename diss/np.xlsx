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PVT_TSU\diss\"/>
    </mc:Choice>
  </mc:AlternateContent>
  <xr:revisionPtr revIDLastSave="0" documentId="13_ncr:1_{0CEDE27E-F560-4B19-BD40-BD0745975E17}" xr6:coauthVersionLast="47" xr6:coauthVersionMax="47" xr10:uidLastSave="{00000000-0000-0000-0000-000000000000}"/>
  <bookViews>
    <workbookView xWindow="20370" yWindow="-120" windowWidth="29040" windowHeight="17640" activeTab="2" xr2:uid="{00000000-000D-0000-FFFF-FFFF00000000}"/>
  </bookViews>
  <sheets>
    <sheet name="to_model" sheetId="1" r:id="rId1"/>
    <sheet name="Лист1" sheetId="2" r:id="rId2"/>
    <sheet name="to_model_36comps_shl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2" l="1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21" i="2"/>
  <c r="E2" i="2"/>
  <c r="E3" i="2"/>
  <c r="E4" i="2"/>
  <c r="E5" i="2"/>
  <c r="E6" i="2"/>
  <c r="E7" i="2"/>
  <c r="E8" i="2"/>
  <c r="E9" i="2"/>
  <c r="E1" i="2"/>
  <c r="D17" i="2"/>
  <c r="D14" i="2"/>
  <c r="D10" i="2"/>
</calcChain>
</file>

<file path=xl/sharedStrings.xml><?xml version="1.0" encoding="utf-8"?>
<sst xmlns="http://schemas.openxmlformats.org/spreadsheetml/2006/main" count="114" uniqueCount="63">
  <si>
    <t>CO2</t>
  </si>
  <si>
    <t>C1</t>
  </si>
  <si>
    <t>C2</t>
  </si>
  <si>
    <t>C3</t>
  </si>
  <si>
    <t>C6</t>
  </si>
  <si>
    <t>C7</t>
  </si>
  <si>
    <t>C8</t>
  </si>
  <si>
    <t>C9</t>
  </si>
  <si>
    <t>C10</t>
  </si>
  <si>
    <t>C11</t>
  </si>
  <si>
    <t>C12</t>
  </si>
  <si>
    <t>C13</t>
  </si>
  <si>
    <t>iC4</t>
  </si>
  <si>
    <t>nC4</t>
  </si>
  <si>
    <t>iC5</t>
  </si>
  <si>
    <t>nC5</t>
  </si>
  <si>
    <t>component</t>
  </si>
  <si>
    <t>value</t>
  </si>
  <si>
    <t>N2</t>
  </si>
  <si>
    <t>i-C4</t>
  </si>
  <si>
    <t>n-C4</t>
  </si>
  <si>
    <t>i-C5</t>
  </si>
  <si>
    <t>n-C5</t>
  </si>
  <si>
    <t>Mcyclo-C5</t>
  </si>
  <si>
    <t>Метилциклопентан</t>
  </si>
  <si>
    <t>Benzene</t>
  </si>
  <si>
    <t>Бензол</t>
  </si>
  <si>
    <t>Cyclo-C6</t>
  </si>
  <si>
    <t>Циклогексан</t>
  </si>
  <si>
    <t>Mcyclo-C6</t>
  </si>
  <si>
    <t>Метилциклогексан</t>
  </si>
  <si>
    <t>Toluene</t>
  </si>
  <si>
    <t>Толуол</t>
  </si>
  <si>
    <t>C2-Benzene</t>
  </si>
  <si>
    <t>С2-Бензол</t>
  </si>
  <si>
    <t>m&amp;p-Xylene</t>
  </si>
  <si>
    <t>м,п-Ксилол</t>
  </si>
  <si>
    <t>o-Xylene</t>
  </si>
  <si>
    <t>о-Ксилол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</si>
  <si>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</si>
  <si>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</si>
  <si>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</si>
  <si>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</si>
  <si>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</si>
  <si>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</si>
  <si>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</si>
  <si>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</si>
  <si>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</si>
  <si>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</si>
  <si>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</si>
  <si>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</si>
  <si>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</si>
  <si>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</si>
  <si>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</si>
  <si>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</si>
  <si>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</si>
  <si>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</si>
  <si>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</si>
  <si>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</si>
  <si>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</si>
  <si>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</si>
  <si>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C36+</t>
  </si>
  <si>
    <t>C36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</si>
</sst>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17" sqref="B17"/>
    </sheetView>
  </sheetViews>
  <sheetFormatPr defaultRowHeight="15" x14ac:dyDescent="0.25"/>
  <cols>
    <col min="1" max="1" width="11.5703125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0</v>
      </c>
      <c r="B2">
        <v>2.15E-3</v>
      </c>
    </row>
    <row r="3" spans="1:2" x14ac:dyDescent="0.25">
      <c r="A3" t="s">
        <v>1</v>
      </c>
      <c r="B3">
        <v>0.34222999999999998</v>
      </c>
    </row>
    <row r="4" spans="1:2" x14ac:dyDescent="0.25">
      <c r="A4" t="s">
        <v>2</v>
      </c>
      <c r="B4">
        <v>4.3650000000000001E-2</v>
      </c>
    </row>
    <row r="5" spans="1:2" x14ac:dyDescent="0.25">
      <c r="A5" t="s">
        <v>3</v>
      </c>
      <c r="B5">
        <v>2.912E-2</v>
      </c>
    </row>
    <row r="6" spans="1:2" x14ac:dyDescent="0.25">
      <c r="A6" t="s">
        <v>12</v>
      </c>
      <c r="B6">
        <v>8.9899999999999997E-3</v>
      </c>
    </row>
    <row r="7" spans="1:2" x14ac:dyDescent="0.25">
      <c r="A7" t="s">
        <v>13</v>
      </c>
      <c r="B7">
        <v>7.92E-3</v>
      </c>
    </row>
    <row r="8" spans="1:2" x14ac:dyDescent="0.25">
      <c r="A8" t="s">
        <v>14</v>
      </c>
      <c r="B8">
        <v>5.4200000000000003E-3</v>
      </c>
    </row>
    <row r="9" spans="1:2" x14ac:dyDescent="0.25">
      <c r="A9" t="s">
        <v>15</v>
      </c>
      <c r="B9">
        <v>2.98E-3</v>
      </c>
    </row>
    <row r="10" spans="1:2" x14ac:dyDescent="0.25">
      <c r="A10" t="s">
        <v>4</v>
      </c>
      <c r="B10">
        <v>6.8600000000000006E-3</v>
      </c>
    </row>
    <row r="11" spans="1:2" x14ac:dyDescent="0.25">
      <c r="A11" t="s">
        <v>5</v>
      </c>
      <c r="B11">
        <v>2.9510000000000002E-2</v>
      </c>
    </row>
    <row r="12" spans="1:2" x14ac:dyDescent="0.25">
      <c r="A12" t="s">
        <v>6</v>
      </c>
      <c r="B12">
        <v>3.2639999999999995E-2</v>
      </c>
    </row>
    <row r="13" spans="1:2" x14ac:dyDescent="0.25">
      <c r="A13" t="s">
        <v>7</v>
      </c>
      <c r="B13">
        <v>2.4009999999999997E-2</v>
      </c>
    </row>
    <row r="14" spans="1:2" x14ac:dyDescent="0.25">
      <c r="A14" t="s">
        <v>8</v>
      </c>
      <c r="B14">
        <v>1.5600000000000001E-2</v>
      </c>
    </row>
    <row r="15" spans="1:2" x14ac:dyDescent="0.25">
      <c r="A15" t="s">
        <v>9</v>
      </c>
      <c r="B15">
        <v>1.2760000000000001E-2</v>
      </c>
    </row>
    <row r="16" spans="1:2" x14ac:dyDescent="0.25">
      <c r="A16" t="s">
        <v>10</v>
      </c>
      <c r="B16">
        <v>8.7600000000000004E-3</v>
      </c>
    </row>
    <row r="17" spans="1:2" x14ac:dyDescent="0.25">
      <c r="A17" t="s">
        <v>11</v>
      </c>
      <c r="B17">
        <v>0.42737999999999998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92062-D225-47A3-80BB-71F869AA3484}">
  <dimension ref="A1:E48"/>
  <sheetViews>
    <sheetView topLeftCell="A9" workbookViewId="0">
      <selection activeCell="E21" sqref="E21:E48"/>
    </sheetView>
  </sheetViews>
  <sheetFormatPr defaultRowHeight="15" x14ac:dyDescent="0.25"/>
  <cols>
    <col min="2" max="2" width="19.140625" customWidth="1"/>
  </cols>
  <sheetData>
    <row r="1" spans="1:5" x14ac:dyDescent="0.25">
      <c r="A1" t="s">
        <v>0</v>
      </c>
      <c r="C1">
        <v>0.14499999999999999</v>
      </c>
      <c r="E1">
        <f>C1/100</f>
        <v>1.4499999999999999E-3</v>
      </c>
    </row>
    <row r="2" spans="1:5" x14ac:dyDescent="0.25">
      <c r="A2" t="s">
        <v>18</v>
      </c>
      <c r="C2">
        <v>6.2E-2</v>
      </c>
      <c r="E2">
        <f t="shared" ref="E2:E9" si="0">C2/100</f>
        <v>6.2E-4</v>
      </c>
    </row>
    <row r="3" spans="1:5" x14ac:dyDescent="0.25">
      <c r="A3" t="s">
        <v>1</v>
      </c>
      <c r="C3">
        <v>42.011000000000003</v>
      </c>
      <c r="E3">
        <f t="shared" si="0"/>
        <v>0.42011000000000004</v>
      </c>
    </row>
    <row r="4" spans="1:5" x14ac:dyDescent="0.25">
      <c r="A4" t="s">
        <v>2</v>
      </c>
      <c r="C4">
        <v>4.5780000000000003</v>
      </c>
      <c r="E4">
        <f t="shared" si="0"/>
        <v>4.5780000000000001E-2</v>
      </c>
    </row>
    <row r="5" spans="1:5" x14ac:dyDescent="0.25">
      <c r="A5" t="s">
        <v>3</v>
      </c>
      <c r="C5">
        <v>3.5379999999999998</v>
      </c>
      <c r="E5">
        <f t="shared" si="0"/>
        <v>3.5379999999999995E-2</v>
      </c>
    </row>
    <row r="6" spans="1:5" x14ac:dyDescent="0.25">
      <c r="A6" t="s">
        <v>19</v>
      </c>
      <c r="C6">
        <v>1.034</v>
      </c>
      <c r="E6">
        <f t="shared" si="0"/>
        <v>1.034E-2</v>
      </c>
    </row>
    <row r="7" spans="1:5" x14ac:dyDescent="0.25">
      <c r="A7" t="s">
        <v>20</v>
      </c>
      <c r="C7">
        <v>1.635</v>
      </c>
      <c r="E7">
        <f t="shared" si="0"/>
        <v>1.635E-2</v>
      </c>
    </row>
    <row r="8" spans="1:5" x14ac:dyDescent="0.25">
      <c r="A8" t="s">
        <v>21</v>
      </c>
      <c r="C8">
        <v>0.85699999999999998</v>
      </c>
      <c r="E8">
        <f t="shared" si="0"/>
        <v>8.5699999999999995E-3</v>
      </c>
    </row>
    <row r="9" spans="1:5" x14ac:dyDescent="0.25">
      <c r="A9" t="s">
        <v>22</v>
      </c>
      <c r="C9">
        <v>0.87</v>
      </c>
      <c r="E9">
        <f t="shared" si="0"/>
        <v>8.6999999999999994E-3</v>
      </c>
    </row>
    <row r="10" spans="1:5" x14ac:dyDescent="0.25">
      <c r="A10" s="1" t="s">
        <v>4</v>
      </c>
      <c r="B10" s="1"/>
      <c r="C10" s="1">
        <v>1.524</v>
      </c>
      <c r="D10" s="4">
        <f>SUM(C10:C13)</f>
        <v>3.3359999999999999</v>
      </c>
    </row>
    <row r="11" spans="1:5" x14ac:dyDescent="0.25">
      <c r="A11" s="1" t="s">
        <v>23</v>
      </c>
      <c r="B11" s="1" t="s">
        <v>24</v>
      </c>
      <c r="C11" s="1">
        <v>0.65400000000000003</v>
      </c>
      <c r="D11" s="4"/>
    </row>
    <row r="12" spans="1:5" x14ac:dyDescent="0.25">
      <c r="A12" s="1" t="s">
        <v>25</v>
      </c>
      <c r="B12" s="1" t="s">
        <v>26</v>
      </c>
      <c r="C12" s="1">
        <v>0.20699999999999999</v>
      </c>
      <c r="D12" s="4"/>
    </row>
    <row r="13" spans="1:5" x14ac:dyDescent="0.25">
      <c r="A13" s="1" t="s">
        <v>27</v>
      </c>
      <c r="B13" s="1" t="s">
        <v>28</v>
      </c>
      <c r="C13" s="1">
        <v>0.95099999999999996</v>
      </c>
      <c r="D13" s="4"/>
    </row>
    <row r="14" spans="1:5" x14ac:dyDescent="0.25">
      <c r="A14" s="2" t="s">
        <v>5</v>
      </c>
      <c r="B14" s="2"/>
      <c r="C14" s="2">
        <v>1.6180000000000001</v>
      </c>
      <c r="D14" s="4">
        <f>SUM(C14:C16)</f>
        <v>4.569</v>
      </c>
    </row>
    <row r="15" spans="1:5" x14ac:dyDescent="0.25">
      <c r="A15" s="2" t="s">
        <v>29</v>
      </c>
      <c r="B15" s="2" t="s">
        <v>30</v>
      </c>
      <c r="C15" s="2">
        <v>2.153</v>
      </c>
      <c r="D15" s="4"/>
    </row>
    <row r="16" spans="1:5" x14ac:dyDescent="0.25">
      <c r="A16" s="2" t="s">
        <v>31</v>
      </c>
      <c r="B16" s="2" t="s">
        <v>32</v>
      </c>
      <c r="C16" s="2">
        <v>0.79800000000000004</v>
      </c>
      <c r="D16" s="4"/>
    </row>
    <row r="17" spans="1:5" x14ac:dyDescent="0.25">
      <c r="A17" s="3" t="s">
        <v>6</v>
      </c>
      <c r="B17" s="3"/>
      <c r="C17" s="3">
        <v>2.294</v>
      </c>
      <c r="D17" s="4">
        <f>SUM(C17:C20)</f>
        <v>4.1869999999999994</v>
      </c>
    </row>
    <row r="18" spans="1:5" x14ac:dyDescent="0.25">
      <c r="A18" s="3" t="s">
        <v>33</v>
      </c>
      <c r="B18" s="3" t="s">
        <v>34</v>
      </c>
      <c r="C18" s="3">
        <v>0.193</v>
      </c>
      <c r="D18" s="4"/>
    </row>
    <row r="19" spans="1:5" x14ac:dyDescent="0.25">
      <c r="A19" s="3" t="s">
        <v>35</v>
      </c>
      <c r="B19" s="3" t="s">
        <v>36</v>
      </c>
      <c r="C19" s="3">
        <v>1.39</v>
      </c>
      <c r="D19" s="4"/>
    </row>
    <row r="20" spans="1:5" x14ac:dyDescent="0.25">
      <c r="A20" s="3" t="s">
        <v>37</v>
      </c>
      <c r="B20" s="3" t="s">
        <v>38</v>
      </c>
      <c r="C20" s="3">
        <v>0.31</v>
      </c>
      <c r="D20" s="4"/>
    </row>
    <row r="21" spans="1:5" x14ac:dyDescent="0.25">
      <c r="A21" t="s">
        <v>7</v>
      </c>
      <c r="C21">
        <v>1.8</v>
      </c>
      <c r="E21">
        <f t="shared" ref="E21:E48" si="1">C21/100</f>
        <v>1.8000000000000002E-2</v>
      </c>
    </row>
    <row r="22" spans="1:5" x14ac:dyDescent="0.25">
      <c r="A22" t="s">
        <v>8</v>
      </c>
      <c r="C22">
        <v>2.9590000000000001</v>
      </c>
      <c r="E22">
        <f t="shared" si="1"/>
        <v>2.9590000000000002E-2</v>
      </c>
    </row>
    <row r="23" spans="1:5" x14ac:dyDescent="0.25">
      <c r="A23" t="s">
        <v>9</v>
      </c>
      <c r="C23">
        <v>2.3170000000000002</v>
      </c>
      <c r="E23">
        <f t="shared" si="1"/>
        <v>2.3170000000000003E-2</v>
      </c>
    </row>
    <row r="24" spans="1:5" x14ac:dyDescent="0.25">
      <c r="A24" t="s">
        <v>10</v>
      </c>
      <c r="C24">
        <v>2.3119999999999998</v>
      </c>
      <c r="E24">
        <f t="shared" si="1"/>
        <v>2.3119999999999998E-2</v>
      </c>
    </row>
    <row r="25" spans="1:5" x14ac:dyDescent="0.25">
      <c r="A25" t="s">
        <v>11</v>
      </c>
      <c r="C25">
        <v>2.6019999999999999</v>
      </c>
      <c r="E25">
        <f t="shared" si="1"/>
        <v>2.6019999999999998E-2</v>
      </c>
    </row>
    <row r="26" spans="1:5" x14ac:dyDescent="0.25">
      <c r="A26" t="s">
        <v>39</v>
      </c>
      <c r="C26">
        <v>2.3250000000000002</v>
      </c>
      <c r="E26">
        <f t="shared" si="1"/>
        <v>2.3250000000000003E-2</v>
      </c>
    </row>
    <row r="27" spans="1:5" x14ac:dyDescent="0.25">
      <c r="A27" t="s">
        <v>40</v>
      </c>
      <c r="C27">
        <v>2.552</v>
      </c>
      <c r="E27">
        <f t="shared" si="1"/>
        <v>2.5520000000000001E-2</v>
      </c>
    </row>
    <row r="28" spans="1:5" x14ac:dyDescent="0.25">
      <c r="A28" t="s">
        <v>41</v>
      </c>
      <c r="C28">
        <v>2.0350000000000001</v>
      </c>
      <c r="E28">
        <f t="shared" si="1"/>
        <v>2.035E-2</v>
      </c>
    </row>
    <row r="29" spans="1:5" x14ac:dyDescent="0.25">
      <c r="A29" t="s">
        <v>42</v>
      </c>
      <c r="C29">
        <v>1.776</v>
      </c>
      <c r="E29">
        <f t="shared" si="1"/>
        <v>1.7760000000000001E-2</v>
      </c>
    </row>
    <row r="30" spans="1:5" x14ac:dyDescent="0.25">
      <c r="A30" t="s">
        <v>43</v>
      </c>
      <c r="C30">
        <v>1.6919999999999999</v>
      </c>
      <c r="E30">
        <f t="shared" si="1"/>
        <v>1.6920000000000001E-2</v>
      </c>
    </row>
    <row r="31" spans="1:5" x14ac:dyDescent="0.25">
      <c r="A31" t="s">
        <v>44</v>
      </c>
      <c r="C31">
        <v>1.4039999999999999</v>
      </c>
      <c r="E31">
        <f t="shared" si="1"/>
        <v>1.4039999999999999E-2</v>
      </c>
    </row>
    <row r="32" spans="1:5" x14ac:dyDescent="0.25">
      <c r="A32" t="s">
        <v>45</v>
      </c>
      <c r="C32">
        <v>1.1220000000000001</v>
      </c>
      <c r="E32">
        <f t="shared" si="1"/>
        <v>1.1220000000000001E-2</v>
      </c>
    </row>
    <row r="33" spans="1:5" x14ac:dyDescent="0.25">
      <c r="A33" t="s">
        <v>46</v>
      </c>
      <c r="C33">
        <v>0.96</v>
      </c>
      <c r="E33">
        <f t="shared" si="1"/>
        <v>9.5999999999999992E-3</v>
      </c>
    </row>
    <row r="34" spans="1:5" x14ac:dyDescent="0.25">
      <c r="A34" t="s">
        <v>47</v>
      </c>
      <c r="C34">
        <v>0.81599999999999995</v>
      </c>
      <c r="E34">
        <f t="shared" si="1"/>
        <v>8.1599999999999989E-3</v>
      </c>
    </row>
    <row r="35" spans="1:5" x14ac:dyDescent="0.25">
      <c r="A35" t="s">
        <v>48</v>
      </c>
      <c r="C35">
        <v>0.68700000000000006</v>
      </c>
      <c r="E35">
        <f t="shared" si="1"/>
        <v>6.8700000000000002E-3</v>
      </c>
    </row>
    <row r="36" spans="1:5" x14ac:dyDescent="0.25">
      <c r="A36" t="s">
        <v>49</v>
      </c>
      <c r="C36">
        <v>0.58599999999999997</v>
      </c>
      <c r="E36">
        <f t="shared" si="1"/>
        <v>5.8599999999999998E-3</v>
      </c>
    </row>
    <row r="37" spans="1:5" x14ac:dyDescent="0.25">
      <c r="A37" t="s">
        <v>50</v>
      </c>
      <c r="C37">
        <v>0.503</v>
      </c>
      <c r="E37">
        <f t="shared" si="1"/>
        <v>5.0299999999999997E-3</v>
      </c>
    </row>
    <row r="38" spans="1:5" x14ac:dyDescent="0.25">
      <c r="A38" t="s">
        <v>51</v>
      </c>
      <c r="C38">
        <v>0.42799999999999999</v>
      </c>
      <c r="E38">
        <f t="shared" si="1"/>
        <v>4.28E-3</v>
      </c>
    </row>
    <row r="39" spans="1:5" x14ac:dyDescent="0.25">
      <c r="A39" t="s">
        <v>52</v>
      </c>
      <c r="C39">
        <v>0.372</v>
      </c>
      <c r="E39">
        <f t="shared" si="1"/>
        <v>3.7199999999999998E-3</v>
      </c>
    </row>
    <row r="40" spans="1:5" x14ac:dyDescent="0.25">
      <c r="A40" t="s">
        <v>53</v>
      </c>
      <c r="C40">
        <v>0.32</v>
      </c>
      <c r="E40">
        <f t="shared" si="1"/>
        <v>3.2000000000000002E-3</v>
      </c>
    </row>
    <row r="41" spans="1:5" x14ac:dyDescent="0.25">
      <c r="A41" t="s">
        <v>54</v>
      </c>
      <c r="C41">
        <v>0.29199999999999998</v>
      </c>
      <c r="E41">
        <f t="shared" si="1"/>
        <v>2.9199999999999999E-3</v>
      </c>
    </row>
    <row r="42" spans="1:5" x14ac:dyDescent="0.25">
      <c r="A42" t="s">
        <v>55</v>
      </c>
      <c r="C42">
        <v>0.252</v>
      </c>
      <c r="E42">
        <f t="shared" si="1"/>
        <v>2.5200000000000001E-3</v>
      </c>
    </row>
    <row r="43" spans="1:5" x14ac:dyDescent="0.25">
      <c r="A43" t="s">
        <v>56</v>
      </c>
      <c r="C43">
        <v>0.22600000000000001</v>
      </c>
      <c r="E43">
        <f t="shared" si="1"/>
        <v>2.2599999999999999E-3</v>
      </c>
    </row>
    <row r="44" spans="1:5" x14ac:dyDescent="0.25">
      <c r="A44" t="s">
        <v>57</v>
      </c>
      <c r="C44">
        <v>0.19400000000000001</v>
      </c>
      <c r="E44">
        <f t="shared" si="1"/>
        <v>1.9400000000000001E-3</v>
      </c>
    </row>
    <row r="45" spans="1:5" x14ac:dyDescent="0.25">
      <c r="A45" t="s">
        <v>58</v>
      </c>
      <c r="C45">
        <v>0.17799999999999999</v>
      </c>
      <c r="E45">
        <f t="shared" si="1"/>
        <v>1.7799999999999999E-3</v>
      </c>
    </row>
    <row r="46" spans="1:5" x14ac:dyDescent="0.25">
      <c r="A46" t="s">
        <v>59</v>
      </c>
      <c r="C46">
        <v>0.16</v>
      </c>
      <c r="E46">
        <f t="shared" si="1"/>
        <v>1.6000000000000001E-3</v>
      </c>
    </row>
    <row r="47" spans="1:5" x14ac:dyDescent="0.25">
      <c r="A47" t="s">
        <v>60</v>
      </c>
      <c r="C47">
        <v>0.14499999999999999</v>
      </c>
      <c r="E47">
        <f t="shared" si="1"/>
        <v>1.4499999999999999E-3</v>
      </c>
    </row>
    <row r="48" spans="1:5" x14ac:dyDescent="0.25">
      <c r="A48" t="s">
        <v>61</v>
      </c>
      <c r="C48">
        <v>2.165</v>
      </c>
      <c r="E48">
        <f t="shared" si="1"/>
        <v>2.1649999999999999E-2</v>
      </c>
    </row>
  </sheetData>
  <mergeCells count="3">
    <mergeCell ref="D10:D13"/>
    <mergeCell ref="D14:D16"/>
    <mergeCell ref="D17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0E49-660D-4DF2-A046-0CF9F1C5189B}">
  <dimension ref="A1:B40"/>
  <sheetViews>
    <sheetView tabSelected="1" workbookViewId="0">
      <selection activeCell="A40" sqref="A40"/>
    </sheetView>
  </sheetViews>
  <sheetFormatPr defaultRowHeight="15" x14ac:dyDescent="0.25"/>
  <sheetData>
    <row r="1" spans="1:2" x14ac:dyDescent="0.25">
      <c r="A1" t="s">
        <v>0</v>
      </c>
      <c r="B1">
        <v>1.4499999999999999E-3</v>
      </c>
    </row>
    <row r="2" spans="1:2" x14ac:dyDescent="0.25">
      <c r="A2" t="s">
        <v>18</v>
      </c>
      <c r="B2">
        <v>6.2E-4</v>
      </c>
    </row>
    <row r="3" spans="1:2" x14ac:dyDescent="0.25">
      <c r="A3" t="s">
        <v>1</v>
      </c>
      <c r="B3">
        <v>0.42011000000000004</v>
      </c>
    </row>
    <row r="4" spans="1:2" x14ac:dyDescent="0.25">
      <c r="A4" t="s">
        <v>2</v>
      </c>
      <c r="B4">
        <v>4.5780000000000001E-2</v>
      </c>
    </row>
    <row r="5" spans="1:2" x14ac:dyDescent="0.25">
      <c r="A5" t="s">
        <v>3</v>
      </c>
      <c r="B5">
        <v>3.5379999999999995E-2</v>
      </c>
    </row>
    <row r="6" spans="1:2" x14ac:dyDescent="0.25">
      <c r="A6" t="s">
        <v>12</v>
      </c>
      <c r="B6">
        <v>1.034E-2</v>
      </c>
    </row>
    <row r="7" spans="1:2" x14ac:dyDescent="0.25">
      <c r="A7" t="s">
        <v>13</v>
      </c>
      <c r="B7">
        <v>1.635E-2</v>
      </c>
    </row>
    <row r="8" spans="1:2" x14ac:dyDescent="0.25">
      <c r="A8" t="s">
        <v>14</v>
      </c>
      <c r="B8">
        <v>8.5699999999999995E-3</v>
      </c>
    </row>
    <row r="9" spans="1:2" x14ac:dyDescent="0.25">
      <c r="A9" t="s">
        <v>15</v>
      </c>
      <c r="B9">
        <v>8.6999999999999994E-3</v>
      </c>
    </row>
    <row r="10" spans="1:2" x14ac:dyDescent="0.25">
      <c r="A10" s="1" t="s">
        <v>4</v>
      </c>
      <c r="B10">
        <v>3.3360000000000001E-2</v>
      </c>
    </row>
    <row r="11" spans="1:2" x14ac:dyDescent="0.25">
      <c r="A11" s="2" t="s">
        <v>5</v>
      </c>
      <c r="B11">
        <v>4.5690000000000001E-2</v>
      </c>
    </row>
    <row r="12" spans="1:2" x14ac:dyDescent="0.25">
      <c r="A12" s="3" t="s">
        <v>6</v>
      </c>
      <c r="B12">
        <v>4.1869999999999991E-2</v>
      </c>
    </row>
    <row r="13" spans="1:2" x14ac:dyDescent="0.25">
      <c r="A13" t="s">
        <v>7</v>
      </c>
      <c r="B13">
        <v>1.8000000000000002E-2</v>
      </c>
    </row>
    <row r="14" spans="1:2" x14ac:dyDescent="0.25">
      <c r="A14" t="s">
        <v>8</v>
      </c>
      <c r="B14">
        <v>2.9590000000000002E-2</v>
      </c>
    </row>
    <row r="15" spans="1:2" x14ac:dyDescent="0.25">
      <c r="A15" t="s">
        <v>9</v>
      </c>
      <c r="B15">
        <v>2.3170000000000003E-2</v>
      </c>
    </row>
    <row r="16" spans="1:2" x14ac:dyDescent="0.25">
      <c r="A16" t="s">
        <v>10</v>
      </c>
      <c r="B16">
        <v>2.3119999999999998E-2</v>
      </c>
    </row>
    <row r="17" spans="1:2" x14ac:dyDescent="0.25">
      <c r="A17" t="s">
        <v>11</v>
      </c>
      <c r="B17">
        <v>2.6019999999999998E-2</v>
      </c>
    </row>
    <row r="18" spans="1:2" x14ac:dyDescent="0.25">
      <c r="A18" t="s">
        <v>39</v>
      </c>
      <c r="B18">
        <v>2.3250000000000003E-2</v>
      </c>
    </row>
    <row r="19" spans="1:2" x14ac:dyDescent="0.25">
      <c r="A19" t="s">
        <v>40</v>
      </c>
      <c r="B19">
        <v>2.5520000000000001E-2</v>
      </c>
    </row>
    <row r="20" spans="1:2" x14ac:dyDescent="0.25">
      <c r="A20" t="s">
        <v>41</v>
      </c>
      <c r="B20">
        <v>2.035E-2</v>
      </c>
    </row>
    <row r="21" spans="1:2" x14ac:dyDescent="0.25">
      <c r="A21" t="s">
        <v>42</v>
      </c>
      <c r="B21">
        <v>1.7760000000000001E-2</v>
      </c>
    </row>
    <row r="22" spans="1:2" x14ac:dyDescent="0.25">
      <c r="A22" t="s">
        <v>43</v>
      </c>
      <c r="B22">
        <v>1.6920000000000001E-2</v>
      </c>
    </row>
    <row r="23" spans="1:2" x14ac:dyDescent="0.25">
      <c r="A23" t="s">
        <v>44</v>
      </c>
      <c r="B23">
        <v>1.4039999999999999E-2</v>
      </c>
    </row>
    <row r="24" spans="1:2" x14ac:dyDescent="0.25">
      <c r="A24" t="s">
        <v>45</v>
      </c>
      <c r="B24">
        <v>1.1220000000000001E-2</v>
      </c>
    </row>
    <row r="25" spans="1:2" x14ac:dyDescent="0.25">
      <c r="A25" t="s">
        <v>46</v>
      </c>
      <c r="B25">
        <v>9.5999999999999992E-3</v>
      </c>
    </row>
    <row r="26" spans="1:2" x14ac:dyDescent="0.25">
      <c r="A26" t="s">
        <v>47</v>
      </c>
      <c r="B26">
        <v>8.1599999999999989E-3</v>
      </c>
    </row>
    <row r="27" spans="1:2" x14ac:dyDescent="0.25">
      <c r="A27" t="s">
        <v>48</v>
      </c>
      <c r="B27">
        <v>6.8700000000000002E-3</v>
      </c>
    </row>
    <row r="28" spans="1:2" x14ac:dyDescent="0.25">
      <c r="A28" t="s">
        <v>49</v>
      </c>
      <c r="B28">
        <v>5.8599999999999998E-3</v>
      </c>
    </row>
    <row r="29" spans="1:2" x14ac:dyDescent="0.25">
      <c r="A29" t="s">
        <v>50</v>
      </c>
      <c r="B29">
        <v>5.0299999999999997E-3</v>
      </c>
    </row>
    <row r="30" spans="1:2" x14ac:dyDescent="0.25">
      <c r="A30" t="s">
        <v>51</v>
      </c>
      <c r="B30">
        <v>4.28E-3</v>
      </c>
    </row>
    <row r="31" spans="1:2" x14ac:dyDescent="0.25">
      <c r="A31" t="s">
        <v>52</v>
      </c>
      <c r="B31">
        <v>3.7199999999999998E-3</v>
      </c>
    </row>
    <row r="32" spans="1:2" x14ac:dyDescent="0.25">
      <c r="A32" t="s">
        <v>53</v>
      </c>
      <c r="B32">
        <v>3.2000000000000002E-3</v>
      </c>
    </row>
    <row r="33" spans="1:2" x14ac:dyDescent="0.25">
      <c r="A33" t="s">
        <v>54</v>
      </c>
      <c r="B33">
        <v>2.9199999999999999E-3</v>
      </c>
    </row>
    <row r="34" spans="1:2" x14ac:dyDescent="0.25">
      <c r="A34" t="s">
        <v>55</v>
      </c>
      <c r="B34">
        <v>2.5200000000000001E-3</v>
      </c>
    </row>
    <row r="35" spans="1:2" x14ac:dyDescent="0.25">
      <c r="A35" t="s">
        <v>56</v>
      </c>
      <c r="B35">
        <v>2.2599999999999999E-3</v>
      </c>
    </row>
    <row r="36" spans="1:2" x14ac:dyDescent="0.25">
      <c r="A36" t="s">
        <v>57</v>
      </c>
      <c r="B36">
        <v>1.9400000000000001E-3</v>
      </c>
    </row>
    <row r="37" spans="1:2" x14ac:dyDescent="0.25">
      <c r="A37" t="s">
        <v>58</v>
      </c>
      <c r="B37">
        <v>1.7799999999999999E-3</v>
      </c>
    </row>
    <row r="38" spans="1:2" x14ac:dyDescent="0.25">
      <c r="A38" t="s">
        <v>59</v>
      </c>
      <c r="B38">
        <v>1.6000000000000001E-3</v>
      </c>
    </row>
    <row r="39" spans="1:2" x14ac:dyDescent="0.25">
      <c r="A39" t="s">
        <v>60</v>
      </c>
      <c r="B39">
        <v>1.4499999999999999E-3</v>
      </c>
    </row>
    <row r="40" spans="1:2" x14ac:dyDescent="0.25">
      <c r="A40" t="s">
        <v>62</v>
      </c>
      <c r="B40">
        <v>2.1649999999999999E-2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to_model</vt:lpstr>
      <vt:lpstr>Лист1</vt:lpstr>
      <vt:lpstr>to_model_36comps_shlm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Сидоренко Даниил Д.</dc:creator>
  <cp:lastModifiedBy>user</cp:lastModifiedBy>
  <dcterms:created xsi:type="dcterms:W3CDTF">2015-06-05T18:19:34Z</dcterms:created>
  <dcterms:modified xsi:type="dcterms:W3CDTF">2026-04-28T06:25:35Z</dcterms:modified>
</cp:coreProperties>
</file>