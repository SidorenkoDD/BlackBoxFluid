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PVT_TSU\diss\"/>
    </mc:Choice>
  </mc:AlternateContent>
  <xr:revisionPtr revIDLastSave="0" documentId="13_ncr:1_{6AD66A50-737B-4C13-8DFC-04FE9CF30EC8}" xr6:coauthVersionLast="47" xr6:coauthVersionMax="47" xr10:uidLastSave="{00000000-0000-0000-0000-000000000000}"/>
  <bookViews>
    <workbookView minimized="1" xWindow="3705" yWindow="735" windowWidth="15375" windowHeight="7875" activeTab="3" xr2:uid="{00000000-000D-0000-FFFF-FFFF00000000}"/>
  </bookViews>
  <sheets>
    <sheet name="init_composition" sheetId="2" r:id="rId1"/>
    <sheet name="to_model" sheetId="1" r:id="rId2"/>
    <sheet name="SEPTEST" sheetId="3" r:id="rId3"/>
    <sheet name="CCE" sheetId="5" r:id="rId4"/>
    <sheet name="D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2" i="5"/>
  <c r="G9" i="3"/>
  <c r="D3" i="2"/>
</calcChain>
</file>

<file path=xl/sharedStrings.xml><?xml version="1.0" encoding="utf-8"?>
<sst xmlns="http://schemas.openxmlformats.org/spreadsheetml/2006/main" count="129" uniqueCount="76">
  <si>
    <t>N2</t>
  </si>
  <si>
    <t>CO2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</si>
  <si>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</si>
  <si>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</si>
  <si>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</si>
  <si>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</si>
  <si>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</si>
  <si>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</si>
  <si>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</si>
  <si>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</si>
  <si>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</si>
  <si>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</si>
  <si>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</si>
  <si>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</si>
  <si>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</si>
  <si>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</si>
  <si>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</si>
  <si>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</si>
  <si>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</si>
  <si>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</si>
  <si>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</si>
  <si>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</si>
  <si>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</si>
  <si>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</si>
  <si>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</si>
  <si>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</si>
  <si>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</si>
  <si>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</si>
  <si>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</si>
  <si>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</si>
  <si>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</si>
  <si>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</si>
  <si>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component</t>
  </si>
  <si>
    <t>value</t>
  </si>
  <si>
    <t>iC4</t>
  </si>
  <si>
    <t>nC4</t>
  </si>
  <si>
    <t>iC5</t>
  </si>
  <si>
    <t>nC5</t>
  </si>
  <si>
    <t>C36</t>
  </si>
  <si>
    <t>C1</t>
  </si>
  <si>
    <t>C2</t>
  </si>
  <si>
    <t>C3</t>
  </si>
  <si>
    <t>H2</t>
  </si>
  <si>
    <t>He</t>
  </si>
  <si>
    <t>CH4</t>
  </si>
  <si>
    <t>C2H6</t>
  </si>
  <si>
    <t>C3H8</t>
  </si>
  <si>
    <t>i-C4H10</t>
  </si>
  <si>
    <t>n-C4H10</t>
  </si>
  <si>
    <t>i-C5H12</t>
  </si>
  <si>
    <t>n-C5H12</t>
  </si>
  <si>
    <t>C36+</t>
  </si>
  <si>
    <t>Pres</t>
  </si>
  <si>
    <t>-</t>
  </si>
  <si>
    <t>Pb</t>
  </si>
  <si>
    <t>I</t>
  </si>
  <si>
    <t>II</t>
  </si>
  <si>
    <t>Pst</t>
  </si>
  <si>
    <t>P</t>
  </si>
  <si>
    <t>T</t>
  </si>
  <si>
    <t>Vг ст</t>
  </si>
  <si>
    <t>Vг тот</t>
  </si>
  <si>
    <t>Vн</t>
  </si>
  <si>
    <t>GOR</t>
  </si>
  <si>
    <t>Bo</t>
  </si>
  <si>
    <t>oden</t>
  </si>
  <si>
    <t>Rs</t>
  </si>
  <si>
    <t>PstTst</t>
  </si>
  <si>
    <t>Z</t>
  </si>
  <si>
    <t>gden</t>
  </si>
  <si>
    <t>Bg</t>
  </si>
  <si>
    <t>mug</t>
  </si>
  <si>
    <t>V</t>
  </si>
  <si>
    <t>v/vres</t>
  </si>
  <si>
    <t>v/vsat</t>
  </si>
  <si>
    <t>compres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</si>
</sst>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C0D2-7F79-482B-BC4D-B0E55C50AA90}">
  <sheetPr codeName="Лист1"/>
  <dimension ref="A1:D42"/>
  <sheetViews>
    <sheetView topLeftCell="A28" workbookViewId="0">
      <selection activeCell="B42" sqref="B42"/>
    </sheetView>
  </sheetViews>
  <sheetFormatPr defaultRowHeight="15" x14ac:dyDescent="0.25"/>
  <sheetData>
    <row r="1" spans="1:4" x14ac:dyDescent="0.25">
      <c r="A1" t="s">
        <v>42</v>
      </c>
      <c r="B1">
        <v>2</v>
      </c>
      <c r="C1">
        <v>2.9999999999999997E-4</v>
      </c>
    </row>
    <row r="2" spans="1:4" x14ac:dyDescent="0.25">
      <c r="A2" t="s">
        <v>43</v>
      </c>
      <c r="B2">
        <v>4</v>
      </c>
      <c r="C2">
        <v>2.9999999999999997E-4</v>
      </c>
    </row>
    <row r="3" spans="1:4" x14ac:dyDescent="0.25">
      <c r="A3" t="s">
        <v>0</v>
      </c>
      <c r="B3">
        <v>28.01</v>
      </c>
      <c r="C3">
        <v>3.3399999999999999E-2</v>
      </c>
      <c r="D3">
        <f>C3+C1+C2</f>
        <v>3.4000000000000002E-2</v>
      </c>
    </row>
    <row r="4" spans="1:4" x14ac:dyDescent="0.25">
      <c r="A4" t="s">
        <v>1</v>
      </c>
      <c r="B4">
        <v>44.01</v>
      </c>
      <c r="C4">
        <v>2.0899999999999998E-2</v>
      </c>
    </row>
    <row r="5" spans="1:4" x14ac:dyDescent="0.25">
      <c r="A5" t="s">
        <v>44</v>
      </c>
      <c r="B5">
        <v>16.04</v>
      </c>
      <c r="C5">
        <v>25.933199999999999</v>
      </c>
    </row>
    <row r="6" spans="1:4" x14ac:dyDescent="0.25">
      <c r="A6" t="s">
        <v>45</v>
      </c>
      <c r="B6">
        <v>30.07</v>
      </c>
      <c r="C6">
        <v>5.3499999999999999E-2</v>
      </c>
    </row>
    <row r="7" spans="1:4" x14ac:dyDescent="0.25">
      <c r="A7" t="s">
        <v>46</v>
      </c>
      <c r="B7">
        <v>44.1</v>
      </c>
      <c r="C7">
        <v>6.6E-3</v>
      </c>
    </row>
    <row r="8" spans="1:4" x14ac:dyDescent="0.25">
      <c r="A8" t="s">
        <v>47</v>
      </c>
      <c r="B8">
        <v>58.12</v>
      </c>
      <c r="C8">
        <v>5.1000000000000004E-3</v>
      </c>
    </row>
    <row r="9" spans="1:4" x14ac:dyDescent="0.25">
      <c r="A9" t="s">
        <v>48</v>
      </c>
      <c r="B9">
        <v>58.12</v>
      </c>
      <c r="C9">
        <v>1.83E-2</v>
      </c>
    </row>
    <row r="10" spans="1:4" x14ac:dyDescent="0.25">
      <c r="A10" t="s">
        <v>49</v>
      </c>
      <c r="B10">
        <v>72.150000000000006</v>
      </c>
      <c r="C10">
        <v>4.0000000000000001E-3</v>
      </c>
    </row>
    <row r="11" spans="1:4" x14ac:dyDescent="0.25">
      <c r="A11" t="s">
        <v>50</v>
      </c>
      <c r="B11">
        <v>72.150000000000006</v>
      </c>
      <c r="C11">
        <v>4.5999999999999999E-3</v>
      </c>
    </row>
    <row r="12" spans="1:4" x14ac:dyDescent="0.25">
      <c r="A12" t="s">
        <v>2</v>
      </c>
      <c r="B12">
        <v>84</v>
      </c>
      <c r="C12">
        <v>2.58E-2</v>
      </c>
    </row>
    <row r="13" spans="1:4" x14ac:dyDescent="0.25">
      <c r="A13" t="s">
        <v>3</v>
      </c>
      <c r="B13">
        <v>96</v>
      </c>
      <c r="C13">
        <v>1.3299999999999999E-2</v>
      </c>
    </row>
    <row r="14" spans="1:4" x14ac:dyDescent="0.25">
      <c r="A14" t="s">
        <v>4</v>
      </c>
      <c r="B14">
        <v>107</v>
      </c>
      <c r="C14">
        <v>2.5899999999999999E-2</v>
      </c>
    </row>
    <row r="15" spans="1:4" x14ac:dyDescent="0.25">
      <c r="A15" t="s">
        <v>5</v>
      </c>
      <c r="B15">
        <v>121</v>
      </c>
      <c r="C15">
        <v>2.93E-2</v>
      </c>
    </row>
    <row r="16" spans="1:4" x14ac:dyDescent="0.25">
      <c r="A16" t="s">
        <v>6</v>
      </c>
      <c r="B16">
        <v>134</v>
      </c>
      <c r="C16">
        <v>0.27279999999999999</v>
      </c>
    </row>
    <row r="17" spans="1:3" x14ac:dyDescent="0.25">
      <c r="A17" t="s">
        <v>7</v>
      </c>
      <c r="B17">
        <v>147</v>
      </c>
      <c r="C17">
        <v>0.97870000000000001</v>
      </c>
    </row>
    <row r="18" spans="1:3" x14ac:dyDescent="0.25">
      <c r="A18" t="s">
        <v>8</v>
      </c>
      <c r="B18">
        <v>161</v>
      </c>
      <c r="C18">
        <v>1.9490000000000001</v>
      </c>
    </row>
    <row r="19" spans="1:3" x14ac:dyDescent="0.25">
      <c r="A19" t="s">
        <v>9</v>
      </c>
      <c r="B19">
        <v>175</v>
      </c>
      <c r="C19">
        <v>3.6414</v>
      </c>
    </row>
    <row r="20" spans="1:3" x14ac:dyDescent="0.25">
      <c r="A20" t="s">
        <v>10</v>
      </c>
      <c r="B20">
        <v>190</v>
      </c>
      <c r="C20">
        <v>5.3917000000000002</v>
      </c>
    </row>
    <row r="21" spans="1:3" x14ac:dyDescent="0.25">
      <c r="A21" t="s">
        <v>11</v>
      </c>
      <c r="B21">
        <v>206</v>
      </c>
      <c r="C21">
        <v>6.3574999999999999</v>
      </c>
    </row>
    <row r="22" spans="1:3" x14ac:dyDescent="0.25">
      <c r="A22" t="s">
        <v>12</v>
      </c>
      <c r="B22">
        <v>222</v>
      </c>
      <c r="C22">
        <v>5.8072999999999997</v>
      </c>
    </row>
    <row r="23" spans="1:3" x14ac:dyDescent="0.25">
      <c r="A23" t="s">
        <v>13</v>
      </c>
      <c r="B23">
        <v>237</v>
      </c>
      <c r="C23">
        <v>5.2316000000000003</v>
      </c>
    </row>
    <row r="24" spans="1:3" x14ac:dyDescent="0.25">
      <c r="A24" t="s">
        <v>14</v>
      </c>
      <c r="B24">
        <v>251</v>
      </c>
      <c r="C24">
        <v>4.8459000000000003</v>
      </c>
    </row>
    <row r="25" spans="1:3" x14ac:dyDescent="0.25">
      <c r="A25" t="s">
        <v>15</v>
      </c>
      <c r="B25">
        <v>263</v>
      </c>
      <c r="C25">
        <v>4.4055999999999997</v>
      </c>
    </row>
    <row r="26" spans="1:3" x14ac:dyDescent="0.25">
      <c r="A26" t="s">
        <v>16</v>
      </c>
      <c r="B26">
        <v>275</v>
      </c>
      <c r="C26">
        <v>3.8807999999999998</v>
      </c>
    </row>
    <row r="27" spans="1:3" x14ac:dyDescent="0.25">
      <c r="A27" t="s">
        <v>17</v>
      </c>
      <c r="B27">
        <v>291</v>
      </c>
      <c r="C27">
        <v>3.3334999999999999</v>
      </c>
    </row>
    <row r="28" spans="1:3" x14ac:dyDescent="0.25">
      <c r="A28" t="s">
        <v>18</v>
      </c>
      <c r="B28">
        <v>305</v>
      </c>
      <c r="C28">
        <v>2.851</v>
      </c>
    </row>
    <row r="29" spans="1:3" x14ac:dyDescent="0.25">
      <c r="A29" t="s">
        <v>19</v>
      </c>
      <c r="B29">
        <v>318</v>
      </c>
      <c r="C29">
        <v>2.4415</v>
      </c>
    </row>
    <row r="30" spans="1:3" x14ac:dyDescent="0.25">
      <c r="A30" t="s">
        <v>20</v>
      </c>
      <c r="B30">
        <v>331</v>
      </c>
      <c r="C30">
        <v>2.1208999999999998</v>
      </c>
    </row>
    <row r="31" spans="1:3" x14ac:dyDescent="0.25">
      <c r="A31" t="s">
        <v>21</v>
      </c>
      <c r="B31">
        <v>345</v>
      </c>
      <c r="C31">
        <v>1.8269</v>
      </c>
    </row>
    <row r="32" spans="1:3" x14ac:dyDescent="0.25">
      <c r="A32" t="s">
        <v>22</v>
      </c>
      <c r="B32">
        <v>359</v>
      </c>
      <c r="C32">
        <v>1.6054999999999999</v>
      </c>
    </row>
    <row r="33" spans="1:3" x14ac:dyDescent="0.25">
      <c r="A33" t="s">
        <v>23</v>
      </c>
      <c r="B33">
        <v>374</v>
      </c>
      <c r="C33">
        <v>1.4240999999999999</v>
      </c>
    </row>
    <row r="34" spans="1:3" x14ac:dyDescent="0.25">
      <c r="A34" t="s">
        <v>24</v>
      </c>
      <c r="B34">
        <v>388</v>
      </c>
      <c r="C34">
        <v>1.2457</v>
      </c>
    </row>
    <row r="35" spans="1:3" x14ac:dyDescent="0.25">
      <c r="A35" t="s">
        <v>25</v>
      </c>
      <c r="B35">
        <v>402</v>
      </c>
      <c r="C35">
        <v>1.1254999999999999</v>
      </c>
    </row>
    <row r="36" spans="1:3" x14ac:dyDescent="0.25">
      <c r="A36" t="s">
        <v>26</v>
      </c>
      <c r="B36">
        <v>416</v>
      </c>
      <c r="C36">
        <v>0.91300000000000003</v>
      </c>
    </row>
    <row r="37" spans="1:3" x14ac:dyDescent="0.25">
      <c r="A37" t="s">
        <v>27</v>
      </c>
      <c r="B37">
        <v>430</v>
      </c>
      <c r="C37">
        <v>0.75970000000000004</v>
      </c>
    </row>
    <row r="38" spans="1:3" x14ac:dyDescent="0.25">
      <c r="A38" t="s">
        <v>28</v>
      </c>
      <c r="B38">
        <v>444</v>
      </c>
      <c r="C38">
        <v>0.64649999999999996</v>
      </c>
    </row>
    <row r="39" spans="1:3" x14ac:dyDescent="0.25">
      <c r="A39" t="s">
        <v>29</v>
      </c>
      <c r="B39">
        <v>458</v>
      </c>
      <c r="C39">
        <v>0.55349999999999999</v>
      </c>
    </row>
    <row r="40" spans="1:3" x14ac:dyDescent="0.25">
      <c r="A40" t="s">
        <v>30</v>
      </c>
      <c r="B40">
        <v>472</v>
      </c>
      <c r="C40">
        <v>0.51559999999999995</v>
      </c>
    </row>
    <row r="41" spans="1:3" x14ac:dyDescent="0.25">
      <c r="A41" t="s">
        <v>31</v>
      </c>
      <c r="B41">
        <v>486</v>
      </c>
      <c r="C41">
        <v>0.46889999999999998</v>
      </c>
    </row>
    <row r="42" spans="1:3" x14ac:dyDescent="0.25">
      <c r="A42" t="s">
        <v>51</v>
      </c>
      <c r="B42">
        <v>595.41</v>
      </c>
      <c r="C42">
        <v>9.2317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B41"/>
  <sheetViews>
    <sheetView topLeftCell="A25" workbookViewId="0">
      <selection activeCell="E12" sqref="E12"/>
    </sheetView>
  </sheetViews>
  <sheetFormatPr defaultRowHeight="15" x14ac:dyDescent="0.25"/>
  <cols>
    <col min="1" max="1" width="12.42578125" customWidth="1"/>
  </cols>
  <sheetData>
    <row r="1" spans="1:2" x14ac:dyDescent="0.25">
      <c r="A1" t="s">
        <v>32</v>
      </c>
      <c r="B1" t="s">
        <v>33</v>
      </c>
    </row>
    <row r="2" spans="1:2" x14ac:dyDescent="0.25">
      <c r="A2" t="s">
        <v>0</v>
      </c>
      <c r="B2">
        <v>3.4000000000000002E-4</v>
      </c>
    </row>
    <row r="3" spans="1:2" x14ac:dyDescent="0.25">
      <c r="A3" t="s">
        <v>1</v>
      </c>
      <c r="B3">
        <v>2.0899999999999998E-4</v>
      </c>
    </row>
    <row r="4" spans="1:2" x14ac:dyDescent="0.25">
      <c r="A4" t="s">
        <v>39</v>
      </c>
      <c r="B4">
        <v>0.25933200000000001</v>
      </c>
    </row>
    <row r="5" spans="1:2" x14ac:dyDescent="0.25">
      <c r="A5" t="s">
        <v>40</v>
      </c>
      <c r="B5">
        <v>5.3499999999999999E-4</v>
      </c>
    </row>
    <row r="6" spans="1:2" x14ac:dyDescent="0.25">
      <c r="A6" t="s">
        <v>41</v>
      </c>
      <c r="B6">
        <v>6.6000000000000005E-5</v>
      </c>
    </row>
    <row r="7" spans="1:2" x14ac:dyDescent="0.25">
      <c r="A7" t="s">
        <v>34</v>
      </c>
      <c r="B7">
        <v>5.1000000000000006E-5</v>
      </c>
    </row>
    <row r="8" spans="1:2" x14ac:dyDescent="0.25">
      <c r="A8" t="s">
        <v>35</v>
      </c>
      <c r="B8">
        <v>1.83E-4</v>
      </c>
    </row>
    <row r="9" spans="1:2" x14ac:dyDescent="0.25">
      <c r="A9" t="s">
        <v>36</v>
      </c>
      <c r="B9">
        <v>4.0000000000000003E-5</v>
      </c>
    </row>
    <row r="10" spans="1:2" x14ac:dyDescent="0.25">
      <c r="A10" t="s">
        <v>37</v>
      </c>
      <c r="B10">
        <v>4.6E-5</v>
      </c>
    </row>
    <row r="11" spans="1:2" x14ac:dyDescent="0.25">
      <c r="A11" t="s">
        <v>2</v>
      </c>
      <c r="B11">
        <v>2.5799999999999998E-4</v>
      </c>
    </row>
    <row r="12" spans="1:2" x14ac:dyDescent="0.25">
      <c r="A12" t="s">
        <v>3</v>
      </c>
      <c r="B12">
        <v>1.3299999999999998E-4</v>
      </c>
    </row>
    <row r="13" spans="1:2" x14ac:dyDescent="0.25">
      <c r="A13" t="s">
        <v>4</v>
      </c>
      <c r="B13">
        <v>2.5900000000000001E-4</v>
      </c>
    </row>
    <row r="14" spans="1:2" x14ac:dyDescent="0.25">
      <c r="A14" t="s">
        <v>5</v>
      </c>
      <c r="B14">
        <v>2.9300000000000002E-4</v>
      </c>
    </row>
    <row r="15" spans="1:2" x14ac:dyDescent="0.25">
      <c r="A15" t="s">
        <v>6</v>
      </c>
      <c r="B15">
        <v>2.728E-3</v>
      </c>
    </row>
    <row r="16" spans="1:2" x14ac:dyDescent="0.25">
      <c r="A16" t="s">
        <v>7</v>
      </c>
      <c r="B16">
        <v>9.7870000000000006E-3</v>
      </c>
    </row>
    <row r="17" spans="1:2" x14ac:dyDescent="0.25">
      <c r="A17" t="s">
        <v>8</v>
      </c>
      <c r="B17">
        <v>1.949E-2</v>
      </c>
    </row>
    <row r="18" spans="1:2" x14ac:dyDescent="0.25">
      <c r="A18" t="s">
        <v>9</v>
      </c>
      <c r="B18">
        <v>3.6414000000000002E-2</v>
      </c>
    </row>
    <row r="19" spans="1:2" x14ac:dyDescent="0.25">
      <c r="A19" t="s">
        <v>10</v>
      </c>
      <c r="B19">
        <v>5.3917E-2</v>
      </c>
    </row>
    <row r="20" spans="1:2" x14ac:dyDescent="0.25">
      <c r="A20" t="s">
        <v>11</v>
      </c>
      <c r="B20">
        <v>6.3574999999999993E-2</v>
      </c>
    </row>
    <row r="21" spans="1:2" x14ac:dyDescent="0.25">
      <c r="A21" t="s">
        <v>12</v>
      </c>
      <c r="B21">
        <v>5.8073E-2</v>
      </c>
    </row>
    <row r="22" spans="1:2" x14ac:dyDescent="0.25">
      <c r="A22" t="s">
        <v>13</v>
      </c>
      <c r="B22">
        <v>5.2316000000000001E-2</v>
      </c>
    </row>
    <row r="23" spans="1:2" x14ac:dyDescent="0.25">
      <c r="A23" t="s">
        <v>14</v>
      </c>
      <c r="B23">
        <v>4.8459000000000002E-2</v>
      </c>
    </row>
    <row r="24" spans="1:2" x14ac:dyDescent="0.25">
      <c r="A24" t="s">
        <v>15</v>
      </c>
      <c r="B24">
        <v>4.4055999999999998E-2</v>
      </c>
    </row>
    <row r="25" spans="1:2" x14ac:dyDescent="0.25">
      <c r="A25" t="s">
        <v>16</v>
      </c>
      <c r="B25">
        <v>3.8807999999999995E-2</v>
      </c>
    </row>
    <row r="26" spans="1:2" x14ac:dyDescent="0.25">
      <c r="A26" t="s">
        <v>17</v>
      </c>
      <c r="B26">
        <v>3.3334999999999997E-2</v>
      </c>
    </row>
    <row r="27" spans="1:2" x14ac:dyDescent="0.25">
      <c r="A27" t="s">
        <v>18</v>
      </c>
      <c r="B27">
        <v>2.8510000000000001E-2</v>
      </c>
    </row>
    <row r="28" spans="1:2" x14ac:dyDescent="0.25">
      <c r="A28" t="s">
        <v>19</v>
      </c>
      <c r="B28">
        <v>2.4414999999999999E-2</v>
      </c>
    </row>
    <row r="29" spans="1:2" x14ac:dyDescent="0.25">
      <c r="A29" t="s">
        <v>20</v>
      </c>
      <c r="B29">
        <v>2.1208999999999999E-2</v>
      </c>
    </row>
    <row r="30" spans="1:2" x14ac:dyDescent="0.25">
      <c r="A30" t="s">
        <v>21</v>
      </c>
      <c r="B30">
        <v>1.8269000000000001E-2</v>
      </c>
    </row>
    <row r="31" spans="1:2" x14ac:dyDescent="0.25">
      <c r="A31" t="s">
        <v>22</v>
      </c>
      <c r="B31">
        <v>1.6055E-2</v>
      </c>
    </row>
    <row r="32" spans="1:2" x14ac:dyDescent="0.25">
      <c r="A32" t="s">
        <v>23</v>
      </c>
      <c r="B32">
        <v>1.4240999999999998E-2</v>
      </c>
    </row>
    <row r="33" spans="1:2" x14ac:dyDescent="0.25">
      <c r="A33" t="s">
        <v>24</v>
      </c>
      <c r="B33">
        <v>1.2457000000000001E-2</v>
      </c>
    </row>
    <row r="34" spans="1:2" x14ac:dyDescent="0.25">
      <c r="A34" t="s">
        <v>25</v>
      </c>
      <c r="B34">
        <v>1.1254999999999999E-2</v>
      </c>
    </row>
    <row r="35" spans="1:2" x14ac:dyDescent="0.25">
      <c r="A35" t="s">
        <v>26</v>
      </c>
      <c r="B35">
        <v>9.130000000000001E-3</v>
      </c>
    </row>
    <row r="36" spans="1:2" x14ac:dyDescent="0.25">
      <c r="A36" t="s">
        <v>27</v>
      </c>
      <c r="B36">
        <v>7.5970000000000005E-3</v>
      </c>
    </row>
    <row r="37" spans="1:2" x14ac:dyDescent="0.25">
      <c r="A37" t="s">
        <v>28</v>
      </c>
      <c r="B37">
        <v>6.4649999999999994E-3</v>
      </c>
    </row>
    <row r="38" spans="1:2" x14ac:dyDescent="0.25">
      <c r="A38" t="s">
        <v>29</v>
      </c>
      <c r="B38">
        <v>5.535E-3</v>
      </c>
    </row>
    <row r="39" spans="1:2" x14ac:dyDescent="0.25">
      <c r="A39" t="s">
        <v>30</v>
      </c>
      <c r="B39">
        <v>5.1559999999999991E-3</v>
      </c>
    </row>
    <row r="40" spans="1:2" x14ac:dyDescent="0.25">
      <c r="A40" t="s">
        <v>31</v>
      </c>
      <c r="B40">
        <v>4.6889999999999996E-3</v>
      </c>
    </row>
    <row r="41" spans="1:2" x14ac:dyDescent="0.25">
      <c r="A41" t="s">
        <v>38</v>
      </c>
      <c r="B41">
        <v>9.2316999999999996E-2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33C0-F789-4F7C-8C28-7009348FCFFA}">
  <sheetPr codeName="Лист3"/>
  <dimension ref="A1:I9"/>
  <sheetViews>
    <sheetView workbookViewId="0">
      <selection activeCell="G9" sqref="G9"/>
    </sheetView>
  </sheetViews>
  <sheetFormatPr defaultRowHeight="15" x14ac:dyDescent="0.25"/>
  <sheetData>
    <row r="1" spans="1:9" x14ac:dyDescent="0.25"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 spans="1:9" x14ac:dyDescent="0.25">
      <c r="A2" t="s">
        <v>52</v>
      </c>
      <c r="B2">
        <v>8</v>
      </c>
      <c r="C2">
        <v>18</v>
      </c>
      <c r="D2" t="s">
        <v>53</v>
      </c>
      <c r="E2" t="s">
        <v>53</v>
      </c>
      <c r="F2">
        <v>88.179000000000002</v>
      </c>
      <c r="G2">
        <v>26.37</v>
      </c>
      <c r="H2">
        <v>1.0580000000000001</v>
      </c>
      <c r="I2">
        <v>918.6</v>
      </c>
    </row>
    <row r="3" spans="1:9" x14ac:dyDescent="0.25">
      <c r="A3" t="s">
        <v>54</v>
      </c>
      <c r="B3">
        <v>7.38</v>
      </c>
      <c r="C3">
        <v>18</v>
      </c>
      <c r="D3" t="s">
        <v>53</v>
      </c>
      <c r="E3" t="s">
        <v>53</v>
      </c>
      <c r="F3">
        <v>88.231999999999999</v>
      </c>
      <c r="G3">
        <v>26.37</v>
      </c>
      <c r="H3">
        <v>1.0589999999999999</v>
      </c>
      <c r="I3">
        <v>918.1</v>
      </c>
    </row>
    <row r="4" spans="1:9" x14ac:dyDescent="0.25">
      <c r="A4" t="s">
        <v>55</v>
      </c>
      <c r="B4">
        <v>0.8</v>
      </c>
      <c r="C4">
        <v>20</v>
      </c>
      <c r="D4">
        <v>1973</v>
      </c>
      <c r="E4">
        <v>1973</v>
      </c>
      <c r="F4">
        <v>83.677999999999997</v>
      </c>
      <c r="G4">
        <v>23.67</v>
      </c>
      <c r="H4">
        <v>1.004</v>
      </c>
      <c r="I4">
        <v>952.2</v>
      </c>
    </row>
    <row r="5" spans="1:9" x14ac:dyDescent="0.25">
      <c r="A5" t="s">
        <v>56</v>
      </c>
      <c r="B5">
        <v>0.3</v>
      </c>
      <c r="C5">
        <v>20</v>
      </c>
      <c r="D5">
        <v>142</v>
      </c>
      <c r="E5">
        <v>2114</v>
      </c>
      <c r="F5">
        <v>83.512</v>
      </c>
      <c r="G5">
        <v>1.7</v>
      </c>
      <c r="H5">
        <v>1.002</v>
      </c>
      <c r="I5">
        <v>953</v>
      </c>
    </row>
    <row r="6" spans="1:9" x14ac:dyDescent="0.25">
      <c r="A6" t="s">
        <v>57</v>
      </c>
      <c r="B6">
        <v>0.1</v>
      </c>
      <c r="C6">
        <v>20</v>
      </c>
      <c r="D6">
        <v>83</v>
      </c>
      <c r="E6">
        <v>2198</v>
      </c>
      <c r="F6">
        <v>83.344999999999999</v>
      </c>
      <c r="G6">
        <v>1</v>
      </c>
      <c r="H6">
        <v>1</v>
      </c>
      <c r="I6">
        <v>954.2</v>
      </c>
    </row>
    <row r="9" spans="1:9" x14ac:dyDescent="0.25">
      <c r="G9">
        <f>G3-G4</f>
        <v>2.6999999999999993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0EDF-56D4-41E6-8AEE-54CAF03946A0}">
  <sheetPr codeName="Лист4"/>
  <dimension ref="A1:G8"/>
  <sheetViews>
    <sheetView tabSelected="1" workbookViewId="0">
      <selection activeCell="D2" sqref="D2:D8"/>
    </sheetView>
  </sheetViews>
  <sheetFormatPr defaultRowHeight="15" x14ac:dyDescent="0.25"/>
  <sheetData>
    <row r="1" spans="1:7" x14ac:dyDescent="0.25">
      <c r="A1" t="s">
        <v>58</v>
      </c>
      <c r="B1" t="s">
        <v>72</v>
      </c>
      <c r="C1" t="s">
        <v>73</v>
      </c>
      <c r="D1" t="s">
        <v>74</v>
      </c>
      <c r="E1" t="s">
        <v>65</v>
      </c>
      <c r="F1" t="s">
        <v>75</v>
      </c>
    </row>
    <row r="2" spans="1:7" x14ac:dyDescent="0.25">
      <c r="A2">
        <v>18.149999999999999</v>
      </c>
      <c r="B2">
        <v>152.697</v>
      </c>
      <c r="C2">
        <v>0.99099999999999999</v>
      </c>
      <c r="D2">
        <v>0.98899999999999999</v>
      </c>
      <c r="E2">
        <v>927.6</v>
      </c>
      <c r="F2" t="s">
        <v>53</v>
      </c>
      <c r="G2">
        <f>E2/1000</f>
        <v>0.92759999999999998</v>
      </c>
    </row>
    <row r="3" spans="1:7" x14ac:dyDescent="0.25">
      <c r="A3">
        <v>16.96</v>
      </c>
      <c r="B3">
        <v>152.86199999999999</v>
      </c>
      <c r="C3">
        <v>0.99199999999999999</v>
      </c>
      <c r="D3">
        <v>0.99</v>
      </c>
      <c r="E3">
        <v>926.6</v>
      </c>
      <c r="F3" s="1">
        <v>8.9899999999999995E-4</v>
      </c>
      <c r="G3">
        <f t="shared" ref="G3:G8" si="0">E3/1000</f>
        <v>0.92659999999999998</v>
      </c>
    </row>
    <row r="4" spans="1:7" x14ac:dyDescent="0.25">
      <c r="A4">
        <v>15.18</v>
      </c>
      <c r="B4">
        <v>153.113</v>
      </c>
      <c r="C4">
        <v>0.99299999999999999</v>
      </c>
      <c r="D4">
        <v>0.99199999999999999</v>
      </c>
      <c r="E4">
        <v>925.1</v>
      </c>
      <c r="F4" s="1">
        <v>9.1500000000000001E-4</v>
      </c>
      <c r="G4">
        <f t="shared" si="0"/>
        <v>0.92510000000000003</v>
      </c>
    </row>
    <row r="5" spans="1:7" x14ac:dyDescent="0.25">
      <c r="A5">
        <v>13.54</v>
      </c>
      <c r="B5">
        <v>153.34800000000001</v>
      </c>
      <c r="C5">
        <v>0.995</v>
      </c>
      <c r="D5">
        <v>0.99399999999999999</v>
      </c>
      <c r="E5">
        <v>923.7</v>
      </c>
      <c r="F5" s="1">
        <v>9.2800000000000001E-4</v>
      </c>
      <c r="G5">
        <f t="shared" si="0"/>
        <v>0.92370000000000008</v>
      </c>
    </row>
    <row r="6" spans="1:7" x14ac:dyDescent="0.25">
      <c r="A6">
        <v>11.1</v>
      </c>
      <c r="B6">
        <v>153.70099999999999</v>
      </c>
      <c r="C6">
        <v>0.997</v>
      </c>
      <c r="D6">
        <v>0.996</v>
      </c>
      <c r="E6">
        <v>921.5</v>
      </c>
      <c r="F6" s="1">
        <v>9.3999999999999997E-4</v>
      </c>
      <c r="G6">
        <f t="shared" si="0"/>
        <v>0.92149999999999999</v>
      </c>
    </row>
    <row r="7" spans="1:7" x14ac:dyDescent="0.25">
      <c r="A7">
        <v>9.65</v>
      </c>
      <c r="B7">
        <v>153.91399999999999</v>
      </c>
      <c r="C7">
        <v>0.998</v>
      </c>
      <c r="D7">
        <v>0.997</v>
      </c>
      <c r="E7">
        <v>920.3</v>
      </c>
      <c r="F7" s="1">
        <v>9.5100000000000002E-4</v>
      </c>
      <c r="G7">
        <f t="shared" si="0"/>
        <v>0.92030000000000001</v>
      </c>
    </row>
    <row r="8" spans="1:7" x14ac:dyDescent="0.25">
      <c r="A8">
        <v>8</v>
      </c>
      <c r="B8">
        <v>154.15899999999999</v>
      </c>
      <c r="C8">
        <v>1</v>
      </c>
      <c r="D8">
        <v>0.999</v>
      </c>
      <c r="E8">
        <v>918.8</v>
      </c>
      <c r="F8" s="1">
        <v>9.6400000000000001E-4</v>
      </c>
      <c r="G8">
        <f t="shared" si="0"/>
        <v>0.91879999999999995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3E5CA-6F3A-420B-A91E-6F5C8D3A9F0D}">
  <sheetPr codeName="Лист5"/>
  <dimension ref="A1:I10"/>
  <sheetViews>
    <sheetView workbookViewId="0">
      <selection activeCell="D2" sqref="D2:D10"/>
    </sheetView>
  </sheetViews>
  <sheetFormatPr defaultRowHeight="15" x14ac:dyDescent="0.25"/>
  <sheetData>
    <row r="1" spans="1:9" x14ac:dyDescent="0.25">
      <c r="B1" t="s">
        <v>58</v>
      </c>
      <c r="C1" t="s">
        <v>66</v>
      </c>
      <c r="D1" t="s">
        <v>64</v>
      </c>
      <c r="E1" t="s">
        <v>65</v>
      </c>
      <c r="F1" t="s">
        <v>68</v>
      </c>
      <c r="G1" t="s">
        <v>69</v>
      </c>
      <c r="H1" t="s">
        <v>70</v>
      </c>
      <c r="I1" t="s">
        <v>71</v>
      </c>
    </row>
    <row r="2" spans="1:9" x14ac:dyDescent="0.25">
      <c r="A2" t="s">
        <v>54</v>
      </c>
      <c r="B2">
        <v>8</v>
      </c>
      <c r="C2">
        <v>27.61</v>
      </c>
      <c r="D2">
        <v>1.06</v>
      </c>
      <c r="E2">
        <v>918.5</v>
      </c>
      <c r="F2" t="s">
        <v>53</v>
      </c>
      <c r="G2" t="s">
        <v>53</v>
      </c>
      <c r="H2" t="s">
        <v>53</v>
      </c>
      <c r="I2" t="s">
        <v>53</v>
      </c>
    </row>
    <row r="3" spans="1:9" x14ac:dyDescent="0.25">
      <c r="A3" t="s">
        <v>52</v>
      </c>
      <c r="B3">
        <v>7.38</v>
      </c>
      <c r="C3">
        <v>27.61</v>
      </c>
      <c r="D3">
        <v>1.0609999999999999</v>
      </c>
      <c r="E3">
        <v>917.2</v>
      </c>
      <c r="F3" t="s">
        <v>53</v>
      </c>
      <c r="G3" t="s">
        <v>53</v>
      </c>
      <c r="H3" t="s">
        <v>53</v>
      </c>
      <c r="I3" t="s">
        <v>53</v>
      </c>
    </row>
    <row r="4" spans="1:9" x14ac:dyDescent="0.25">
      <c r="B4">
        <v>6.3</v>
      </c>
      <c r="C4">
        <v>24.02</v>
      </c>
      <c r="D4">
        <v>1.052</v>
      </c>
      <c r="E4">
        <v>922.8</v>
      </c>
      <c r="F4">
        <v>0.89300000000000002</v>
      </c>
      <c r="G4">
        <v>4.7699999999999999E-2</v>
      </c>
      <c r="H4">
        <v>1.41E-2</v>
      </c>
      <c r="I4">
        <v>9.4000000000000004E-3</v>
      </c>
    </row>
    <row r="5" spans="1:9" x14ac:dyDescent="0.25">
      <c r="B5">
        <v>5.0999999999999996</v>
      </c>
      <c r="C5">
        <v>19.760000000000002</v>
      </c>
      <c r="D5">
        <v>1.042</v>
      </c>
      <c r="E5">
        <v>929.2</v>
      </c>
      <c r="F5">
        <v>0.91539999999999999</v>
      </c>
      <c r="G5">
        <v>3.7699999999999997E-2</v>
      </c>
      <c r="H5">
        <v>1.78E-2</v>
      </c>
      <c r="I5">
        <v>8.6999999999999994E-3</v>
      </c>
    </row>
    <row r="6" spans="1:9" x14ac:dyDescent="0.25">
      <c r="B6">
        <v>3.9</v>
      </c>
      <c r="C6">
        <v>15.11</v>
      </c>
      <c r="D6">
        <v>1.0309999999999999</v>
      </c>
      <c r="E6">
        <v>935.5</v>
      </c>
      <c r="F6">
        <v>0.93859999999999999</v>
      </c>
      <c r="G6">
        <v>2.81E-2</v>
      </c>
      <c r="H6">
        <v>2.3900000000000001E-2</v>
      </c>
      <c r="I6">
        <v>8.0000000000000002E-3</v>
      </c>
    </row>
    <row r="7" spans="1:9" x14ac:dyDescent="0.25">
      <c r="B7">
        <v>2.7</v>
      </c>
      <c r="C7">
        <v>10.16</v>
      </c>
      <c r="D7">
        <v>1.0209999999999999</v>
      </c>
      <c r="E7">
        <v>941.9</v>
      </c>
      <c r="F7">
        <v>0.96230000000000004</v>
      </c>
      <c r="G7">
        <v>1.9E-2</v>
      </c>
      <c r="H7">
        <v>3.5400000000000001E-2</v>
      </c>
      <c r="I7">
        <v>7.4000000000000003E-3</v>
      </c>
    </row>
    <row r="8" spans="1:9" x14ac:dyDescent="0.25">
      <c r="B8">
        <v>1.5</v>
      </c>
      <c r="C8">
        <v>5.29</v>
      </c>
      <c r="D8">
        <v>1.01</v>
      </c>
      <c r="E8">
        <v>948.3</v>
      </c>
      <c r="F8">
        <v>0.98560000000000003</v>
      </c>
      <c r="G8">
        <v>1.03E-2</v>
      </c>
      <c r="H8">
        <v>6.5299999999999997E-2</v>
      </c>
      <c r="I8">
        <v>6.8999999999999999E-3</v>
      </c>
    </row>
    <row r="9" spans="1:9" x14ac:dyDescent="0.25">
      <c r="A9" t="s">
        <v>57</v>
      </c>
      <c r="B9">
        <v>0.1</v>
      </c>
      <c r="C9">
        <v>0</v>
      </c>
      <c r="D9">
        <v>0.999</v>
      </c>
      <c r="E9">
        <v>955.7</v>
      </c>
      <c r="F9" t="s">
        <v>53</v>
      </c>
      <c r="G9">
        <v>6.9999999999999999E-4</v>
      </c>
      <c r="H9">
        <v>0.99439999999999995</v>
      </c>
      <c r="I9">
        <v>6.3E-3</v>
      </c>
    </row>
    <row r="10" spans="1:9" x14ac:dyDescent="0.25">
      <c r="A10" t="s">
        <v>67</v>
      </c>
      <c r="B10">
        <v>0.1</v>
      </c>
      <c r="C10">
        <v>0</v>
      </c>
      <c r="D10">
        <v>1</v>
      </c>
      <c r="E10">
        <v>954.6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init_composition</vt:lpstr>
      <vt:lpstr>to_model</vt:lpstr>
      <vt:lpstr>SEPTEST</vt:lpstr>
      <vt:lpstr>CCE</vt:lpstr>
      <vt:lpstr>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Сидоренко Даниил Д.</dc:creator>
  <cp:lastModifiedBy>user</cp:lastModifiedBy>
  <dcterms:created xsi:type="dcterms:W3CDTF">2015-06-05T18:19:34Z</dcterms:created>
  <dcterms:modified xsi:type="dcterms:W3CDTF">2026-04-28T14:21:58Z</dcterms:modified>
</cp:coreProperties>
</file>