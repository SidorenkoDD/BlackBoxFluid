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826C8357-5877-4F02-8EA2-277853AB4CF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init_composition" sheetId="4" r:id="rId1"/>
    <sheet name="to_model" sheetId="2" r:id="rId2"/>
    <sheet name="CCE" sheetId="8" r:id="rId3"/>
    <sheet name="DIFLIB" sheetId="7" r:id="rId4"/>
    <sheet name="SEPTEST" sheetId="6" r:id="rId5"/>
    <sheet name="VISC" sheetId="9" r:id="rId6"/>
    <sheet name="STSEP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2" i="8"/>
  <c r="F3" i="6"/>
  <c r="F4" i="6"/>
  <c r="F5" i="6"/>
  <c r="F2" i="6"/>
  <c r="E19" i="4"/>
  <c r="E16" i="4"/>
  <c r="E12" i="4"/>
</calcChain>
</file>

<file path=xl/sharedStrings.xml><?xml version="1.0" encoding="utf-8"?>
<sst xmlns="http://schemas.openxmlformats.org/spreadsheetml/2006/main" count="108" uniqueCount="66">
  <si>
    <t>C6</t>
  </si>
  <si>
    <t>C7</t>
  </si>
  <si>
    <t>C8</t>
  </si>
  <si>
    <t>C28</t>
  </si>
  <si>
    <t>CO2</t>
  </si>
  <si>
    <t>component</t>
  </si>
  <si>
    <t>value</t>
  </si>
  <si>
    <t>N2</t>
  </si>
  <si>
    <t>C1</t>
  </si>
  <si>
    <t>C2</t>
  </si>
  <si>
    <t>iC4</t>
  </si>
  <si>
    <t>nC4</t>
  </si>
  <si>
    <t>iC5</t>
  </si>
  <si>
    <t>nC5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</si>
  <si>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</si>
  <si>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</si>
  <si>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</si>
  <si>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</si>
  <si>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</si>
  <si>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</si>
  <si>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</si>
  <si>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</si>
  <si>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</si>
  <si>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</si>
  <si>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</si>
  <si>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</si>
  <si>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</si>
  <si>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</si>
  <si>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</si>
  <si>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</si>
  <si>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</si>
  <si>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</si>
  <si>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</si>
  <si>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C29</t>
  </si>
  <si>
    <t>C30</t>
  </si>
  <si>
    <t>T</t>
  </si>
  <si>
    <t>H2S</t>
  </si>
  <si>
    <t>Mcyclo-C5</t>
  </si>
  <si>
    <t>Бензол</t>
  </si>
  <si>
    <t>Циклогексан</t>
  </si>
  <si>
    <t>Метилциклогексан</t>
  </si>
  <si>
    <t>Толуол</t>
  </si>
  <si>
    <t>С2-Бензол</t>
  </si>
  <si>
    <t>м,п-Ксилол</t>
  </si>
  <si>
    <t>о-Ксилол</t>
  </si>
  <si>
    <t>С3</t>
  </si>
  <si>
    <t>Component</t>
  </si>
  <si>
    <t>MW</t>
  </si>
  <si>
    <t>mass</t>
  </si>
  <si>
    <t>mole</t>
  </si>
  <si>
    <t>GOR,sm3/sm3</t>
  </si>
  <si>
    <t>Bo  Pres</t>
  </si>
  <si>
    <t>Bo Psat</t>
  </si>
  <si>
    <t>oden Pres</t>
  </si>
  <si>
    <t>P</t>
  </si>
  <si>
    <t>V/Vsat</t>
  </si>
  <si>
    <t>V</t>
  </si>
  <si>
    <t>Rs</t>
  </si>
  <si>
    <t>Bo</t>
  </si>
  <si>
    <t>oden</t>
  </si>
  <si>
    <t>GOR</t>
  </si>
  <si>
    <t>gden</t>
  </si>
  <si>
    <t>Z</t>
  </si>
  <si>
    <t>compress</t>
  </si>
  <si>
    <t>Vнуд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</si>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</sst>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C155-69A6-4C21-9D93-A5ED67D795C0}">
  <sheetPr codeName="Лист1">
    <tabColor theme="9" tint="0.39997558519241921"/>
  </sheetPr>
  <dimension ref="A1:E44"/>
  <sheetViews>
    <sheetView topLeftCell="A31" workbookViewId="0">
      <selection activeCell="B12" sqref="B12"/>
    </sheetView>
  </sheetViews>
  <sheetFormatPr defaultRowHeight="15" x14ac:dyDescent="0.25"/>
  <sheetData>
    <row r="1" spans="1:5" x14ac:dyDescent="0.25">
      <c r="A1" t="s">
        <v>46</v>
      </c>
      <c r="B1" t="s">
        <v>47</v>
      </c>
      <c r="C1" t="s">
        <v>48</v>
      </c>
      <c r="D1" t="s">
        <v>49</v>
      </c>
    </row>
    <row r="2" spans="1:5" x14ac:dyDescent="0.25">
      <c r="A2" t="s">
        <v>4</v>
      </c>
      <c r="B2">
        <v>44.01</v>
      </c>
      <c r="C2">
        <v>5.6000000000000001E-2</v>
      </c>
      <c r="D2">
        <v>0.25900000000000001</v>
      </c>
    </row>
    <row r="3" spans="1:5" x14ac:dyDescent="0.25">
      <c r="A3" t="s">
        <v>36</v>
      </c>
      <c r="B3">
        <v>34.08</v>
      </c>
      <c r="C3">
        <v>2E-3</v>
      </c>
      <c r="D3">
        <v>1.4E-2</v>
      </c>
    </row>
    <row r="4" spans="1:5" x14ac:dyDescent="0.25">
      <c r="A4" t="s">
        <v>7</v>
      </c>
      <c r="B4">
        <v>28.01</v>
      </c>
      <c r="C4">
        <v>0.17599999999999999</v>
      </c>
      <c r="D4">
        <v>1.2689999999999999</v>
      </c>
    </row>
    <row r="5" spans="1:5" x14ac:dyDescent="0.25">
      <c r="A5" t="s">
        <v>8</v>
      </c>
      <c r="B5">
        <v>16.04</v>
      </c>
      <c r="C5">
        <v>2.2269999999999999</v>
      </c>
      <c r="D5">
        <v>28.122</v>
      </c>
    </row>
    <row r="6" spans="1:5" x14ac:dyDescent="0.25">
      <c r="A6" t="s">
        <v>9</v>
      </c>
      <c r="B6">
        <v>30.07</v>
      </c>
      <c r="C6">
        <v>0.44900000000000001</v>
      </c>
      <c r="D6">
        <v>3.0259999999999998</v>
      </c>
    </row>
    <row r="7" spans="1:5" x14ac:dyDescent="0.25">
      <c r="A7" t="s">
        <v>45</v>
      </c>
      <c r="B7">
        <v>44.1</v>
      </c>
      <c r="C7">
        <v>0.501</v>
      </c>
      <c r="D7">
        <v>2.3010000000000002</v>
      </c>
    </row>
    <row r="8" spans="1:5" x14ac:dyDescent="0.25">
      <c r="A8" t="s">
        <v>10</v>
      </c>
      <c r="B8">
        <v>58.12</v>
      </c>
      <c r="C8">
        <v>0.193</v>
      </c>
      <c r="D8">
        <v>0.67300000000000004</v>
      </c>
    </row>
    <row r="9" spans="1:5" x14ac:dyDescent="0.25">
      <c r="A9" t="s">
        <v>11</v>
      </c>
      <c r="B9">
        <v>58.12</v>
      </c>
      <c r="C9">
        <v>0.41299999999999998</v>
      </c>
      <c r="D9">
        <v>1.4379999999999999</v>
      </c>
    </row>
    <row r="10" spans="1:5" x14ac:dyDescent="0.25">
      <c r="A10" t="s">
        <v>12</v>
      </c>
      <c r="B10">
        <v>72.150000000000006</v>
      </c>
      <c r="C10">
        <v>0.316</v>
      </c>
      <c r="D10">
        <v>0.88600000000000001</v>
      </c>
    </row>
    <row r="11" spans="1:5" x14ac:dyDescent="0.25">
      <c r="A11" t="s">
        <v>13</v>
      </c>
      <c r="B11">
        <v>72.150000000000006</v>
      </c>
      <c r="C11">
        <v>0.28499999999999998</v>
      </c>
      <c r="D11">
        <v>0.8</v>
      </c>
    </row>
    <row r="12" spans="1:5" x14ac:dyDescent="0.25">
      <c r="A12" s="1" t="s">
        <v>0</v>
      </c>
      <c r="B12" s="1">
        <v>84</v>
      </c>
      <c r="C12" s="1">
        <v>0.64900000000000002</v>
      </c>
      <c r="D12" s="1">
        <v>1.5649999999999999</v>
      </c>
      <c r="E12" s="9">
        <f>SUM(D12:D15)</f>
        <v>2.7190000000000003</v>
      </c>
    </row>
    <row r="13" spans="1:5" x14ac:dyDescent="0.25">
      <c r="A13" s="1" t="s">
        <v>37</v>
      </c>
      <c r="B13" s="1">
        <v>84.16</v>
      </c>
      <c r="C13" s="1">
        <v>0.13500000000000001</v>
      </c>
      <c r="D13" s="1">
        <v>0.32400000000000001</v>
      </c>
      <c r="E13" s="9"/>
    </row>
    <row r="14" spans="1:5" x14ac:dyDescent="0.25">
      <c r="A14" s="1" t="s">
        <v>38</v>
      </c>
      <c r="B14" s="1">
        <v>78.11</v>
      </c>
      <c r="C14" s="1">
        <v>0.16700000000000001</v>
      </c>
      <c r="D14" s="1">
        <v>0.433</v>
      </c>
      <c r="E14" s="9"/>
    </row>
    <row r="15" spans="1:5" x14ac:dyDescent="0.25">
      <c r="A15" s="1" t="s">
        <v>39</v>
      </c>
      <c r="B15" s="1">
        <v>84.16</v>
      </c>
      <c r="C15" s="1">
        <v>0.16500000000000001</v>
      </c>
      <c r="D15" s="1">
        <v>0.39700000000000002</v>
      </c>
      <c r="E15" s="9"/>
    </row>
    <row r="16" spans="1:5" x14ac:dyDescent="0.25">
      <c r="A16" s="2" t="s">
        <v>1</v>
      </c>
      <c r="B16" s="2">
        <v>100.21</v>
      </c>
      <c r="C16" s="2">
        <v>0.78</v>
      </c>
      <c r="D16" s="2">
        <v>1.577</v>
      </c>
      <c r="E16" s="9">
        <f>SUM(D16:D18)</f>
        <v>2.1749999999999998</v>
      </c>
    </row>
    <row r="17" spans="1:5" x14ac:dyDescent="0.25">
      <c r="A17" s="2" t="s">
        <v>40</v>
      </c>
      <c r="B17" s="2">
        <v>98.19</v>
      </c>
      <c r="C17" s="2">
        <v>0.21099999999999999</v>
      </c>
      <c r="D17" s="2">
        <v>0.436</v>
      </c>
      <c r="E17" s="9"/>
    </row>
    <row r="18" spans="1:5" x14ac:dyDescent="0.25">
      <c r="A18" s="2" t="s">
        <v>41</v>
      </c>
      <c r="B18" s="2">
        <v>92.14</v>
      </c>
      <c r="C18" s="2">
        <v>7.3999999999999996E-2</v>
      </c>
      <c r="D18" s="2">
        <v>0.16200000000000001</v>
      </c>
      <c r="E18" s="9"/>
    </row>
    <row r="19" spans="1:5" x14ac:dyDescent="0.25">
      <c r="A19" s="3" t="s">
        <v>2</v>
      </c>
      <c r="B19" s="3">
        <v>112.22</v>
      </c>
      <c r="C19" s="3">
        <v>1.41</v>
      </c>
      <c r="D19" s="3">
        <v>2.5449999999999999</v>
      </c>
      <c r="E19" s="9">
        <f>SUM(D19:D22)</f>
        <v>2.9950000000000001</v>
      </c>
    </row>
    <row r="20" spans="1:5" x14ac:dyDescent="0.25">
      <c r="A20" s="3" t="s">
        <v>42</v>
      </c>
      <c r="B20" s="3">
        <v>106.17</v>
      </c>
      <c r="C20" s="3">
        <v>0.05</v>
      </c>
      <c r="D20" s="3">
        <v>9.5000000000000001E-2</v>
      </c>
      <c r="E20" s="9"/>
    </row>
    <row r="21" spans="1:5" x14ac:dyDescent="0.25">
      <c r="A21" s="3" t="s">
        <v>43</v>
      </c>
      <c r="B21" s="3">
        <v>106.17</v>
      </c>
      <c r="C21" s="3">
        <v>0.11799999999999999</v>
      </c>
      <c r="D21" s="3">
        <v>0.22600000000000001</v>
      </c>
      <c r="E21" s="9"/>
    </row>
    <row r="22" spans="1:5" x14ac:dyDescent="0.25">
      <c r="A22" s="3" t="s">
        <v>44</v>
      </c>
      <c r="B22" s="3">
        <v>106.17</v>
      </c>
      <c r="C22" s="3">
        <v>6.8000000000000005E-2</v>
      </c>
      <c r="D22" s="3">
        <v>0.129</v>
      </c>
      <c r="E22" s="9"/>
    </row>
    <row r="23" spans="1:5" x14ac:dyDescent="0.25">
      <c r="A23" t="s">
        <v>14</v>
      </c>
      <c r="B23">
        <v>123.78</v>
      </c>
      <c r="C23">
        <v>1.466</v>
      </c>
      <c r="D23">
        <v>2.3980000000000001</v>
      </c>
    </row>
    <row r="24" spans="1:5" x14ac:dyDescent="0.25">
      <c r="A24" t="s">
        <v>15</v>
      </c>
      <c r="B24">
        <v>134</v>
      </c>
      <c r="C24">
        <v>2.0590000000000002</v>
      </c>
      <c r="D24">
        <v>3.113</v>
      </c>
    </row>
    <row r="25" spans="1:5" x14ac:dyDescent="0.25">
      <c r="A25" t="s">
        <v>16</v>
      </c>
      <c r="B25">
        <v>147</v>
      </c>
      <c r="C25">
        <v>2.117</v>
      </c>
      <c r="D25">
        <v>2.9169999999999998</v>
      </c>
    </row>
    <row r="26" spans="1:5" x14ac:dyDescent="0.25">
      <c r="A26" t="s">
        <v>17</v>
      </c>
      <c r="B26">
        <v>161</v>
      </c>
      <c r="C26">
        <v>2.3039999999999998</v>
      </c>
      <c r="D26">
        <v>2.8980000000000001</v>
      </c>
    </row>
    <row r="27" spans="1:5" x14ac:dyDescent="0.25">
      <c r="A27" t="s">
        <v>18</v>
      </c>
      <c r="B27">
        <v>175</v>
      </c>
      <c r="C27">
        <v>2.673</v>
      </c>
      <c r="D27">
        <v>3.0939999999999999</v>
      </c>
    </row>
    <row r="28" spans="1:5" x14ac:dyDescent="0.25">
      <c r="A28" t="s">
        <v>19</v>
      </c>
      <c r="B28">
        <v>190</v>
      </c>
      <c r="C28">
        <v>2.6880000000000002</v>
      </c>
      <c r="D28">
        <v>2.8660000000000001</v>
      </c>
    </row>
    <row r="29" spans="1:5" x14ac:dyDescent="0.25">
      <c r="A29" t="s">
        <v>20</v>
      </c>
      <c r="B29">
        <v>206</v>
      </c>
      <c r="C29">
        <v>2.927</v>
      </c>
      <c r="D29">
        <v>2.8780000000000001</v>
      </c>
    </row>
    <row r="30" spans="1:5" x14ac:dyDescent="0.25">
      <c r="A30" t="s">
        <v>21</v>
      </c>
      <c r="B30">
        <v>222</v>
      </c>
      <c r="C30">
        <v>2.8140000000000001</v>
      </c>
      <c r="D30">
        <v>2.5680000000000001</v>
      </c>
    </row>
    <row r="31" spans="1:5" x14ac:dyDescent="0.25">
      <c r="A31" t="s">
        <v>22</v>
      </c>
      <c r="B31">
        <v>237</v>
      </c>
      <c r="C31">
        <v>2.5139999999999998</v>
      </c>
      <c r="D31">
        <v>2.1480000000000001</v>
      </c>
    </row>
    <row r="32" spans="1:5" x14ac:dyDescent="0.25">
      <c r="A32" t="s">
        <v>23</v>
      </c>
      <c r="B32">
        <v>251</v>
      </c>
      <c r="C32">
        <v>2.524</v>
      </c>
      <c r="D32">
        <v>2.0369999999999999</v>
      </c>
    </row>
    <row r="33" spans="1:4" x14ac:dyDescent="0.25">
      <c r="A33" t="s">
        <v>24</v>
      </c>
      <c r="B33">
        <v>263</v>
      </c>
      <c r="C33">
        <v>2.59</v>
      </c>
      <c r="D33">
        <v>1.9950000000000001</v>
      </c>
    </row>
    <row r="34" spans="1:4" x14ac:dyDescent="0.25">
      <c r="A34" t="s">
        <v>25</v>
      </c>
      <c r="B34">
        <v>275</v>
      </c>
      <c r="C34">
        <v>2.2839999999999998</v>
      </c>
      <c r="D34">
        <v>1.6830000000000001</v>
      </c>
    </row>
    <row r="35" spans="1:4" x14ac:dyDescent="0.25">
      <c r="A35" t="s">
        <v>26</v>
      </c>
      <c r="B35">
        <v>291</v>
      </c>
      <c r="C35">
        <v>2.3820000000000001</v>
      </c>
      <c r="D35">
        <v>1.6579999999999999</v>
      </c>
    </row>
    <row r="36" spans="1:4" x14ac:dyDescent="0.25">
      <c r="A36" t="s">
        <v>27</v>
      </c>
      <c r="B36">
        <v>305</v>
      </c>
      <c r="C36">
        <v>2.0390000000000001</v>
      </c>
      <c r="D36">
        <v>1.3540000000000001</v>
      </c>
    </row>
    <row r="37" spans="1:4" x14ac:dyDescent="0.25">
      <c r="A37" t="s">
        <v>28</v>
      </c>
      <c r="B37">
        <v>318</v>
      </c>
      <c r="C37">
        <v>2.0150000000000001</v>
      </c>
      <c r="D37">
        <v>1.284</v>
      </c>
    </row>
    <row r="38" spans="1:4" x14ac:dyDescent="0.25">
      <c r="A38" t="s">
        <v>29</v>
      </c>
      <c r="B38">
        <v>331</v>
      </c>
      <c r="C38">
        <v>1.827</v>
      </c>
      <c r="D38">
        <v>1.1180000000000001</v>
      </c>
    </row>
    <row r="39" spans="1:4" x14ac:dyDescent="0.25">
      <c r="A39" t="s">
        <v>30</v>
      </c>
      <c r="B39">
        <v>345</v>
      </c>
      <c r="C39">
        <v>1.704</v>
      </c>
      <c r="D39">
        <v>1.0009999999999999</v>
      </c>
    </row>
    <row r="40" spans="1:4" x14ac:dyDescent="0.25">
      <c r="A40" t="s">
        <v>31</v>
      </c>
      <c r="B40">
        <v>359</v>
      </c>
      <c r="C40">
        <v>1.746</v>
      </c>
      <c r="D40">
        <v>0.98499999999999999</v>
      </c>
    </row>
    <row r="41" spans="1:4" x14ac:dyDescent="0.25">
      <c r="A41" t="s">
        <v>32</v>
      </c>
      <c r="B41">
        <v>374</v>
      </c>
      <c r="C41">
        <v>1.5740000000000001</v>
      </c>
      <c r="D41">
        <v>0.85199999999999998</v>
      </c>
    </row>
    <row r="42" spans="1:4" x14ac:dyDescent="0.25">
      <c r="A42" t="s">
        <v>3</v>
      </c>
      <c r="B42">
        <v>388</v>
      </c>
      <c r="C42">
        <v>1.597</v>
      </c>
      <c r="D42">
        <v>0.83399999999999996</v>
      </c>
    </row>
    <row r="43" spans="1:4" x14ac:dyDescent="0.25">
      <c r="A43" t="s">
        <v>33</v>
      </c>
      <c r="B43">
        <v>402</v>
      </c>
      <c r="C43">
        <v>1.5660000000000001</v>
      </c>
      <c r="D43">
        <v>0.78900000000000003</v>
      </c>
    </row>
    <row r="44" spans="1:4" x14ac:dyDescent="0.25">
      <c r="A44" t="s">
        <v>34</v>
      </c>
      <c r="B44">
        <v>727.35</v>
      </c>
      <c r="C44">
        <v>46.146000000000001</v>
      </c>
      <c r="D44">
        <v>12.851000000000001</v>
      </c>
    </row>
  </sheetData>
  <mergeCells count="3">
    <mergeCell ref="E12:E15"/>
    <mergeCell ref="E16:E18"/>
    <mergeCell ref="E19:E2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690D-B7A9-49AD-A7E3-FAB95A7E371E}">
  <sheetPr codeName="Лист2">
    <tabColor theme="9" tint="0.39997558519241921"/>
  </sheetPr>
  <dimension ref="A1:AH48"/>
  <sheetViews>
    <sheetView workbookViewId="0">
      <selection activeCell="I15" sqref="I15"/>
    </sheetView>
  </sheetViews>
  <sheetFormatPr defaultRowHeight="15" x14ac:dyDescent="0.25"/>
  <cols>
    <col min="13" max="16384" width="9.140625" style="6"/>
  </cols>
  <sheetData>
    <row r="1" spans="1:34" customFormat="1" x14ac:dyDescent="0.25">
      <c r="A1" t="s">
        <v>5</v>
      </c>
      <c r="B1" t="s">
        <v>6</v>
      </c>
    </row>
    <row r="2" spans="1:34" customFormat="1" x14ac:dyDescent="0.25">
      <c r="A2" t="s">
        <v>4</v>
      </c>
      <c r="B2">
        <v>2.5900000000000003E-3</v>
      </c>
    </row>
    <row r="3" spans="1:34" customFormat="1" x14ac:dyDescent="0.25">
      <c r="A3" t="s">
        <v>36</v>
      </c>
      <c r="B3">
        <v>1.4000000000000001E-4</v>
      </c>
    </row>
    <row r="4" spans="1:34" customFormat="1" x14ac:dyDescent="0.25">
      <c r="A4" t="s">
        <v>7</v>
      </c>
      <c r="B4">
        <v>1.269E-2</v>
      </c>
    </row>
    <row r="5" spans="1:34" customFormat="1" x14ac:dyDescent="0.25">
      <c r="A5" t="s">
        <v>8</v>
      </c>
      <c r="B5">
        <v>0.28122000000000003</v>
      </c>
    </row>
    <row r="6" spans="1:34" x14ac:dyDescent="0.25">
      <c r="A6" t="s">
        <v>9</v>
      </c>
      <c r="B6">
        <v>3.0259999999999999E-2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x14ac:dyDescent="0.25">
      <c r="A7" t="s">
        <v>65</v>
      </c>
      <c r="B7">
        <v>2.3010000000000003E-2</v>
      </c>
      <c r="M7" s="5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x14ac:dyDescent="0.25">
      <c r="A8" t="s">
        <v>10</v>
      </c>
      <c r="B8">
        <v>6.7300000000000007E-3</v>
      </c>
      <c r="M8" s="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x14ac:dyDescent="0.25">
      <c r="A9" t="s">
        <v>11</v>
      </c>
      <c r="B9">
        <v>1.4379999999999999E-2</v>
      </c>
      <c r="M9" s="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x14ac:dyDescent="0.25">
      <c r="A10" t="s">
        <v>12</v>
      </c>
      <c r="B10">
        <v>8.8599999999999998E-3</v>
      </c>
      <c r="M10" s="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x14ac:dyDescent="0.25">
      <c r="A11" t="s">
        <v>13</v>
      </c>
      <c r="B11">
        <v>8.0000000000000002E-3</v>
      </c>
      <c r="M11" s="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x14ac:dyDescent="0.25">
      <c r="A12" s="4" t="s">
        <v>0</v>
      </c>
      <c r="B12">
        <v>2.7190000000000002E-2</v>
      </c>
      <c r="M12" s="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x14ac:dyDescent="0.25">
      <c r="A13" t="s">
        <v>1</v>
      </c>
      <c r="B13">
        <v>2.1749999999999999E-2</v>
      </c>
      <c r="M13" s="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x14ac:dyDescent="0.25">
      <c r="A14" t="s">
        <v>2</v>
      </c>
      <c r="B14">
        <v>2.9950000000000001E-2</v>
      </c>
      <c r="M14" s="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x14ac:dyDescent="0.25">
      <c r="A15" t="s">
        <v>14</v>
      </c>
      <c r="B15">
        <v>2.3980000000000001E-2</v>
      </c>
      <c r="M15" s="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x14ac:dyDescent="0.25">
      <c r="A16" t="s">
        <v>15</v>
      </c>
      <c r="B16">
        <v>3.1130000000000001E-2</v>
      </c>
      <c r="M16" s="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x14ac:dyDescent="0.25">
      <c r="A17" t="s">
        <v>16</v>
      </c>
      <c r="B17">
        <v>2.9169999999999998E-2</v>
      </c>
      <c r="M17" s="5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x14ac:dyDescent="0.25">
      <c r="A18" t="s">
        <v>17</v>
      </c>
      <c r="B18">
        <v>2.8980000000000002E-2</v>
      </c>
      <c r="M18" s="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x14ac:dyDescent="0.25">
      <c r="A19" t="s">
        <v>18</v>
      </c>
      <c r="B19">
        <v>3.0939999999999999E-2</v>
      </c>
      <c r="M19" s="5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x14ac:dyDescent="0.25">
      <c r="A20" t="s">
        <v>19</v>
      </c>
      <c r="B20">
        <v>2.8660000000000001E-2</v>
      </c>
      <c r="M20" s="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x14ac:dyDescent="0.25">
      <c r="A21" t="s">
        <v>20</v>
      </c>
      <c r="B21">
        <v>2.878E-2</v>
      </c>
      <c r="M21" s="5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x14ac:dyDescent="0.25">
      <c r="A22" t="s">
        <v>21</v>
      </c>
      <c r="B22">
        <v>2.5680000000000001E-2</v>
      </c>
      <c r="M22" s="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x14ac:dyDescent="0.25">
      <c r="A23" t="s">
        <v>22</v>
      </c>
      <c r="B23">
        <v>2.1480000000000003E-2</v>
      </c>
      <c r="M23" s="5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x14ac:dyDescent="0.25">
      <c r="A24" t="s">
        <v>23</v>
      </c>
      <c r="B24">
        <v>2.0369999999999999E-2</v>
      </c>
      <c r="M24" s="5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x14ac:dyDescent="0.25">
      <c r="A25" t="s">
        <v>24</v>
      </c>
      <c r="B25">
        <v>1.9950000000000002E-2</v>
      </c>
      <c r="M25" s="5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x14ac:dyDescent="0.25">
      <c r="A26" t="s">
        <v>25</v>
      </c>
      <c r="B26">
        <v>1.6830000000000001E-2</v>
      </c>
      <c r="M26" s="5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x14ac:dyDescent="0.25">
      <c r="A27" t="s">
        <v>26</v>
      </c>
      <c r="B27">
        <v>1.6579999999999998E-2</v>
      </c>
      <c r="M27" s="5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x14ac:dyDescent="0.25">
      <c r="A28" t="s">
        <v>27</v>
      </c>
      <c r="B28">
        <v>1.3540000000000002E-2</v>
      </c>
      <c r="M28" s="5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x14ac:dyDescent="0.25">
      <c r="A29" t="s">
        <v>28</v>
      </c>
      <c r="B29">
        <v>1.2840000000000001E-2</v>
      </c>
      <c r="M29" s="5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x14ac:dyDescent="0.25">
      <c r="A30" t="s">
        <v>29</v>
      </c>
      <c r="B30">
        <v>1.1180000000000001E-2</v>
      </c>
      <c r="M30" s="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x14ac:dyDescent="0.25">
      <c r="A31" t="s">
        <v>30</v>
      </c>
      <c r="B31">
        <v>1.0009999999999998E-2</v>
      </c>
      <c r="M31" s="5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x14ac:dyDescent="0.25">
      <c r="A32" t="s">
        <v>31</v>
      </c>
      <c r="B32">
        <v>9.8499999999999994E-3</v>
      </c>
      <c r="M32" s="5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x14ac:dyDescent="0.25">
      <c r="A33" t="s">
        <v>32</v>
      </c>
      <c r="B33">
        <v>8.5199999999999998E-3</v>
      </c>
      <c r="M33" s="5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x14ac:dyDescent="0.25">
      <c r="A34" t="s">
        <v>3</v>
      </c>
      <c r="B34">
        <v>8.3400000000000002E-3</v>
      </c>
      <c r="M34" s="5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x14ac:dyDescent="0.25">
      <c r="A35" t="s">
        <v>33</v>
      </c>
      <c r="B35">
        <v>7.8900000000000012E-3</v>
      </c>
      <c r="M35" s="5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x14ac:dyDescent="0.25">
      <c r="A36" t="s">
        <v>34</v>
      </c>
      <c r="B36">
        <v>0.12851000000000001</v>
      </c>
      <c r="M36" s="5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x14ac:dyDescent="0.25">
      <c r="M37" s="5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x14ac:dyDescent="0.25">
      <c r="M38" s="5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x14ac:dyDescent="0.25">
      <c r="M39" s="5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x14ac:dyDescent="0.25">
      <c r="M40" s="5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x14ac:dyDescent="0.25">
      <c r="M41" s="5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x14ac:dyDescent="0.25">
      <c r="M42" s="5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x14ac:dyDescent="0.25">
      <c r="M43" s="5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x14ac:dyDescent="0.25">
      <c r="M44" s="5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x14ac:dyDescent="0.25">
      <c r="M45" s="5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x14ac:dyDescent="0.25">
      <c r="M46" s="5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8" spans="1:34" x14ac:dyDescent="0.25">
      <c r="M4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59B8-55EB-4D67-B27D-117447EF524B}">
  <sheetPr codeName="Лист3">
    <tabColor theme="5" tint="0.39997558519241921"/>
  </sheetPr>
  <dimension ref="A1:I25"/>
  <sheetViews>
    <sheetView workbookViewId="0">
      <selection activeCell="A2" sqref="A2:A17"/>
    </sheetView>
  </sheetViews>
  <sheetFormatPr defaultRowHeight="15" x14ac:dyDescent="0.25"/>
  <sheetData>
    <row r="1" spans="1:9" x14ac:dyDescent="0.25">
      <c r="A1" t="s">
        <v>54</v>
      </c>
      <c r="B1" t="s">
        <v>55</v>
      </c>
      <c r="C1" t="s">
        <v>56</v>
      </c>
      <c r="D1" t="s">
        <v>56</v>
      </c>
      <c r="E1" t="s">
        <v>56</v>
      </c>
      <c r="F1" t="s">
        <v>64</v>
      </c>
      <c r="G1" t="s">
        <v>59</v>
      </c>
      <c r="H1" t="s">
        <v>63</v>
      </c>
    </row>
    <row r="2" spans="1:9" x14ac:dyDescent="0.25">
      <c r="A2">
        <v>27.68</v>
      </c>
      <c r="B2">
        <v>0.98899999999999999</v>
      </c>
      <c r="C2">
        <v>1</v>
      </c>
      <c r="D2">
        <v>0.998</v>
      </c>
      <c r="E2">
        <v>0.98899999999999999</v>
      </c>
      <c r="F2">
        <v>1.127E-3</v>
      </c>
      <c r="G2">
        <v>887.5</v>
      </c>
      <c r="H2">
        <v>7.18</v>
      </c>
      <c r="I2">
        <f>G2/1000</f>
        <v>0.88749999999999996</v>
      </c>
    </row>
    <row r="3" spans="1:9" x14ac:dyDescent="0.25">
      <c r="A3">
        <v>25.28</v>
      </c>
      <c r="B3">
        <v>0.99</v>
      </c>
      <c r="C3">
        <v>1</v>
      </c>
      <c r="D3">
        <v>1</v>
      </c>
      <c r="E3">
        <v>0.99099999999999999</v>
      </c>
      <c r="F3">
        <v>1.129E-3</v>
      </c>
      <c r="G3">
        <v>885.9</v>
      </c>
      <c r="H3">
        <v>7.38</v>
      </c>
      <c r="I3">
        <f t="shared" ref="I3:I17" si="0">G3/1000</f>
        <v>0.88590000000000002</v>
      </c>
    </row>
    <row r="4" spans="1:9" x14ac:dyDescent="0.25">
      <c r="A4">
        <v>23.54</v>
      </c>
      <c r="B4">
        <v>0.99199999999999999</v>
      </c>
      <c r="C4">
        <v>1</v>
      </c>
      <c r="D4">
        <v>1.0009999999999999</v>
      </c>
      <c r="E4">
        <v>0.99199999999999999</v>
      </c>
      <c r="F4">
        <v>1.1299999999999999E-3</v>
      </c>
      <c r="G4">
        <v>884.8</v>
      </c>
      <c r="H4">
        <v>7.53</v>
      </c>
      <c r="I4">
        <f t="shared" si="0"/>
        <v>0.88479999999999992</v>
      </c>
    </row>
    <row r="5" spans="1:9" x14ac:dyDescent="0.25">
      <c r="A5">
        <v>22.16</v>
      </c>
      <c r="B5">
        <v>0.99299999999999999</v>
      </c>
      <c r="C5">
        <v>1</v>
      </c>
      <c r="D5">
        <v>1.002</v>
      </c>
      <c r="E5">
        <v>0.99299999999999999</v>
      </c>
      <c r="F5">
        <v>1.1310000000000001E-3</v>
      </c>
      <c r="G5">
        <v>883.8</v>
      </c>
      <c r="H5">
        <v>7.65</v>
      </c>
      <c r="I5">
        <f t="shared" si="0"/>
        <v>0.88379999999999992</v>
      </c>
    </row>
    <row r="6" spans="1:9" x14ac:dyDescent="0.25">
      <c r="A6">
        <v>20.79</v>
      </c>
      <c r="B6">
        <v>0.99399999999999999</v>
      </c>
      <c r="C6">
        <v>1</v>
      </c>
      <c r="D6">
        <v>1.0029999999999999</v>
      </c>
      <c r="E6">
        <v>0.99399999999999999</v>
      </c>
      <c r="F6">
        <v>1.1329999999999999E-3</v>
      </c>
      <c r="G6">
        <v>882.9</v>
      </c>
      <c r="H6">
        <v>7.77</v>
      </c>
      <c r="I6">
        <f t="shared" si="0"/>
        <v>0.88290000000000002</v>
      </c>
    </row>
    <row r="7" spans="1:9" x14ac:dyDescent="0.25">
      <c r="A7">
        <v>19.41</v>
      </c>
      <c r="B7">
        <v>0.995</v>
      </c>
      <c r="C7">
        <v>1</v>
      </c>
      <c r="D7">
        <v>1.004</v>
      </c>
      <c r="E7">
        <v>0.995</v>
      </c>
      <c r="F7">
        <v>1.134E-3</v>
      </c>
      <c r="G7">
        <v>881.9</v>
      </c>
      <c r="H7">
        <v>7.89</v>
      </c>
      <c r="I7">
        <f t="shared" si="0"/>
        <v>0.88190000000000002</v>
      </c>
    </row>
    <row r="8" spans="1:9" x14ac:dyDescent="0.25">
      <c r="A8">
        <v>18.03</v>
      </c>
      <c r="B8">
        <v>0.996</v>
      </c>
      <c r="C8">
        <v>1</v>
      </c>
      <c r="D8">
        <v>1.006</v>
      </c>
      <c r="E8">
        <v>0.996</v>
      </c>
      <c r="F8">
        <v>1.1349999999999999E-3</v>
      </c>
      <c r="G8">
        <v>881</v>
      </c>
      <c r="H8">
        <v>8.02</v>
      </c>
      <c r="I8">
        <f t="shared" si="0"/>
        <v>0.88100000000000001</v>
      </c>
    </row>
    <row r="9" spans="1:9" x14ac:dyDescent="0.25">
      <c r="A9">
        <v>17.34</v>
      </c>
      <c r="B9">
        <v>0.997</v>
      </c>
      <c r="C9">
        <v>1</v>
      </c>
      <c r="D9">
        <v>1.006</v>
      </c>
      <c r="E9">
        <v>0.997</v>
      </c>
      <c r="F9">
        <v>1.1360000000000001E-3</v>
      </c>
      <c r="G9">
        <v>880.5</v>
      </c>
      <c r="H9">
        <v>8.08</v>
      </c>
      <c r="I9">
        <f t="shared" si="0"/>
        <v>0.88049999999999995</v>
      </c>
    </row>
    <row r="10" spans="1:9" x14ac:dyDescent="0.25">
      <c r="A10">
        <v>16.649999999999999</v>
      </c>
      <c r="B10">
        <v>0.997</v>
      </c>
      <c r="C10">
        <v>1</v>
      </c>
      <c r="D10">
        <v>1.0069999999999999</v>
      </c>
      <c r="E10">
        <v>0.997</v>
      </c>
      <c r="F10">
        <v>1.1360000000000001E-3</v>
      </c>
      <c r="G10">
        <v>880</v>
      </c>
      <c r="H10">
        <v>8.14</v>
      </c>
      <c r="I10">
        <f t="shared" si="0"/>
        <v>0.88</v>
      </c>
    </row>
    <row r="11" spans="1:9" x14ac:dyDescent="0.25">
      <c r="A11">
        <v>15.96</v>
      </c>
      <c r="B11">
        <v>0.998</v>
      </c>
      <c r="C11">
        <v>1</v>
      </c>
      <c r="D11">
        <v>1.0069999999999999</v>
      </c>
      <c r="E11">
        <v>0.998</v>
      </c>
      <c r="F11">
        <v>1.137E-3</v>
      </c>
      <c r="G11">
        <v>879.5</v>
      </c>
      <c r="H11">
        <v>8.2100000000000009</v>
      </c>
      <c r="I11">
        <f t="shared" si="0"/>
        <v>0.87949999999999995</v>
      </c>
    </row>
    <row r="12" spans="1:9" x14ac:dyDescent="0.25">
      <c r="A12">
        <v>15.57</v>
      </c>
      <c r="B12">
        <v>0.998</v>
      </c>
      <c r="C12">
        <v>1</v>
      </c>
      <c r="D12">
        <v>1.008</v>
      </c>
      <c r="E12">
        <v>0.998</v>
      </c>
      <c r="F12">
        <v>1.137E-3</v>
      </c>
      <c r="G12">
        <v>879.2</v>
      </c>
      <c r="H12">
        <v>8.25</v>
      </c>
      <c r="I12">
        <f t="shared" si="0"/>
        <v>0.87920000000000009</v>
      </c>
    </row>
    <row r="13" spans="1:9" x14ac:dyDescent="0.25">
      <c r="A13">
        <v>15.4</v>
      </c>
      <c r="B13">
        <v>0.998</v>
      </c>
      <c r="C13">
        <v>1</v>
      </c>
      <c r="D13">
        <v>1.008</v>
      </c>
      <c r="E13">
        <v>0.998</v>
      </c>
      <c r="F13">
        <v>1.1379999999999999E-3</v>
      </c>
      <c r="G13">
        <v>879.1</v>
      </c>
      <c r="H13">
        <v>8.26</v>
      </c>
      <c r="I13">
        <f t="shared" si="0"/>
        <v>0.87909999999999999</v>
      </c>
    </row>
    <row r="14" spans="1:9" x14ac:dyDescent="0.25">
      <c r="A14">
        <v>14.93</v>
      </c>
      <c r="B14">
        <v>0.999</v>
      </c>
      <c r="C14">
        <v>1</v>
      </c>
      <c r="D14">
        <v>1.008</v>
      </c>
      <c r="E14">
        <v>0.999</v>
      </c>
      <c r="F14">
        <v>1.1379999999999999E-3</v>
      </c>
      <c r="G14">
        <v>878.7</v>
      </c>
      <c r="H14">
        <v>8.31</v>
      </c>
      <c r="I14">
        <f t="shared" si="0"/>
        <v>0.87870000000000004</v>
      </c>
    </row>
    <row r="15" spans="1:9" x14ac:dyDescent="0.25">
      <c r="A15">
        <v>14.58</v>
      </c>
      <c r="B15">
        <v>0.999</v>
      </c>
      <c r="C15">
        <v>1</v>
      </c>
      <c r="D15">
        <v>1.008</v>
      </c>
      <c r="E15">
        <v>0.999</v>
      </c>
      <c r="F15">
        <v>1.1379999999999999E-3</v>
      </c>
      <c r="G15">
        <v>878.5</v>
      </c>
      <c r="H15">
        <v>8.34</v>
      </c>
      <c r="I15">
        <f t="shared" si="0"/>
        <v>0.87849999999999995</v>
      </c>
    </row>
    <row r="16" spans="1:9" x14ac:dyDescent="0.25">
      <c r="A16">
        <v>13.89</v>
      </c>
      <c r="B16">
        <v>0.999</v>
      </c>
      <c r="C16">
        <v>1</v>
      </c>
      <c r="D16">
        <v>1.0089999999999999</v>
      </c>
      <c r="E16">
        <v>0.999</v>
      </c>
      <c r="F16">
        <v>1.139E-3</v>
      </c>
      <c r="G16">
        <v>878</v>
      </c>
      <c r="H16">
        <v>8.4</v>
      </c>
      <c r="I16">
        <f t="shared" si="0"/>
        <v>0.878</v>
      </c>
    </row>
    <row r="17" spans="1:9" x14ac:dyDescent="0.25">
      <c r="A17">
        <v>13.18</v>
      </c>
      <c r="B17">
        <v>1</v>
      </c>
      <c r="C17">
        <v>1</v>
      </c>
      <c r="D17">
        <v>1.01</v>
      </c>
      <c r="E17">
        <v>1</v>
      </c>
      <c r="F17">
        <v>1.14E-3</v>
      </c>
      <c r="G17">
        <v>877.5</v>
      </c>
      <c r="H17">
        <v>8.4700000000000006</v>
      </c>
      <c r="I17">
        <f t="shared" si="0"/>
        <v>0.87749999999999995</v>
      </c>
    </row>
    <row r="18" spans="1:9" x14ac:dyDescent="0.25">
      <c r="A18">
        <v>12.51</v>
      </c>
      <c r="B18">
        <v>1.01</v>
      </c>
      <c r="C18">
        <v>0.98899999999999999</v>
      </c>
      <c r="D18">
        <v>1.0089999999999999</v>
      </c>
      <c r="E18">
        <v>0.999</v>
      </c>
      <c r="F18">
        <v>0</v>
      </c>
      <c r="G18">
        <v>0</v>
      </c>
      <c r="H18">
        <v>0</v>
      </c>
    </row>
    <row r="19" spans="1:9" x14ac:dyDescent="0.25">
      <c r="A19">
        <v>11.13</v>
      </c>
      <c r="B19">
        <v>1.0349999999999999</v>
      </c>
      <c r="C19">
        <v>0.96399999999999997</v>
      </c>
      <c r="D19">
        <v>1.008</v>
      </c>
      <c r="E19">
        <v>0.998</v>
      </c>
      <c r="F19">
        <v>0</v>
      </c>
      <c r="G19">
        <v>0</v>
      </c>
      <c r="H19">
        <v>0</v>
      </c>
    </row>
    <row r="20" spans="1:9" x14ac:dyDescent="0.25">
      <c r="A20">
        <v>9.75</v>
      </c>
      <c r="B20">
        <v>1.07</v>
      </c>
      <c r="C20">
        <v>0.93200000000000005</v>
      </c>
      <c r="D20">
        <v>1.0069999999999999</v>
      </c>
      <c r="E20">
        <v>0.997</v>
      </c>
      <c r="F20">
        <v>0</v>
      </c>
      <c r="G20">
        <v>0</v>
      </c>
      <c r="H20">
        <v>0</v>
      </c>
    </row>
    <row r="21" spans="1:9" x14ac:dyDescent="0.25">
      <c r="A21">
        <v>8.3800000000000008</v>
      </c>
      <c r="B21">
        <v>1.121</v>
      </c>
      <c r="C21">
        <v>0.88800000000000001</v>
      </c>
      <c r="D21">
        <v>1.0049999999999999</v>
      </c>
      <c r="E21">
        <v>0.995</v>
      </c>
      <c r="F21">
        <v>0</v>
      </c>
      <c r="G21">
        <v>0</v>
      </c>
      <c r="H21">
        <v>0</v>
      </c>
    </row>
    <row r="22" spans="1:9" x14ac:dyDescent="0.25">
      <c r="A22">
        <v>7</v>
      </c>
      <c r="B22">
        <v>1.1970000000000001</v>
      </c>
      <c r="C22">
        <v>0.83</v>
      </c>
      <c r="D22">
        <v>1.002</v>
      </c>
      <c r="E22">
        <v>0.99299999999999999</v>
      </c>
      <c r="F22">
        <v>0</v>
      </c>
      <c r="G22">
        <v>0</v>
      </c>
      <c r="H22">
        <v>0</v>
      </c>
    </row>
    <row r="23" spans="1:9" x14ac:dyDescent="0.25">
      <c r="A23">
        <v>4.93</v>
      </c>
      <c r="B23">
        <v>1.4139999999999999</v>
      </c>
      <c r="C23">
        <v>0.69899999999999995</v>
      </c>
      <c r="D23">
        <v>0.997</v>
      </c>
      <c r="E23">
        <v>0.98799999999999999</v>
      </c>
      <c r="F23">
        <v>0</v>
      </c>
      <c r="G23">
        <v>0</v>
      </c>
      <c r="H23">
        <v>0</v>
      </c>
    </row>
    <row r="24" spans="1:9" x14ac:dyDescent="0.25">
      <c r="A24">
        <v>2.86</v>
      </c>
      <c r="B24">
        <v>1.9850000000000001</v>
      </c>
      <c r="C24">
        <v>0.495</v>
      </c>
      <c r="D24">
        <v>0.99199999999999999</v>
      </c>
      <c r="E24">
        <v>0.98299999999999998</v>
      </c>
      <c r="F24">
        <v>0</v>
      </c>
      <c r="G24">
        <v>0</v>
      </c>
      <c r="H24">
        <v>0</v>
      </c>
    </row>
    <row r="25" spans="1:9" x14ac:dyDescent="0.25">
      <c r="A25">
        <v>2.5099999999999998</v>
      </c>
      <c r="B25">
        <v>2.1859999999999999</v>
      </c>
      <c r="C25">
        <v>0.44900000000000001</v>
      </c>
      <c r="D25">
        <v>0.99199999999999999</v>
      </c>
      <c r="E25">
        <v>0.98199999999999998</v>
      </c>
      <c r="F25">
        <v>0</v>
      </c>
      <c r="G25">
        <v>0</v>
      </c>
      <c r="H25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E4A0-B454-4968-94EE-B0273FE1AD9F}">
  <sheetPr codeName="Лист4">
    <tabColor theme="9" tint="0.79998168889431442"/>
  </sheetPr>
  <dimension ref="A1:G10"/>
  <sheetViews>
    <sheetView tabSelected="1" workbookViewId="0">
      <selection activeCell="G2" sqref="G2:G10"/>
    </sheetView>
  </sheetViews>
  <sheetFormatPr defaultRowHeight="15" x14ac:dyDescent="0.25"/>
  <sheetData>
    <row r="1" spans="1:7" x14ac:dyDescent="0.25">
      <c r="A1" t="s">
        <v>54</v>
      </c>
      <c r="B1" t="s">
        <v>35</v>
      </c>
      <c r="C1" t="s">
        <v>60</v>
      </c>
      <c r="D1" t="s">
        <v>58</v>
      </c>
      <c r="E1" t="s">
        <v>59</v>
      </c>
      <c r="F1" t="s">
        <v>61</v>
      </c>
      <c r="G1" t="s">
        <v>62</v>
      </c>
    </row>
    <row r="2" spans="1:7" x14ac:dyDescent="0.25">
      <c r="A2">
        <v>25.28</v>
      </c>
      <c r="B2">
        <v>65.599999999999994</v>
      </c>
      <c r="C2">
        <v>44.6</v>
      </c>
      <c r="D2">
        <v>1.1100000000000001</v>
      </c>
      <c r="E2">
        <v>885.9</v>
      </c>
      <c r="F2">
        <v>0</v>
      </c>
      <c r="G2">
        <v>0</v>
      </c>
    </row>
    <row r="3" spans="1:7" x14ac:dyDescent="0.25">
      <c r="A3">
        <v>13.18</v>
      </c>
      <c r="B3">
        <v>65.599999999999994</v>
      </c>
      <c r="C3">
        <v>44.6</v>
      </c>
      <c r="D3">
        <v>1.121</v>
      </c>
      <c r="E3">
        <v>877.5</v>
      </c>
      <c r="F3">
        <v>0</v>
      </c>
      <c r="G3">
        <v>0</v>
      </c>
    </row>
    <row r="4" spans="1:7" x14ac:dyDescent="0.25">
      <c r="A4">
        <v>9.75</v>
      </c>
      <c r="B4">
        <v>65.599999999999994</v>
      </c>
      <c r="C4">
        <v>36.1</v>
      </c>
      <c r="D4">
        <v>1.1040000000000001</v>
      </c>
      <c r="E4">
        <v>884.9</v>
      </c>
      <c r="F4">
        <v>0.77700000000000002</v>
      </c>
      <c r="G4">
        <v>0.95450000000000002</v>
      </c>
    </row>
    <row r="5" spans="1:7" x14ac:dyDescent="0.25">
      <c r="A5">
        <v>7.34</v>
      </c>
      <c r="B5">
        <v>65.599999999999994</v>
      </c>
      <c r="C5">
        <v>29.4</v>
      </c>
      <c r="D5">
        <v>1.091</v>
      </c>
      <c r="E5">
        <v>890.9</v>
      </c>
      <c r="F5">
        <v>0.77200000000000002</v>
      </c>
      <c r="G5">
        <v>0.96379999999999999</v>
      </c>
    </row>
    <row r="6" spans="1:7" x14ac:dyDescent="0.25">
      <c r="A6">
        <v>5.62</v>
      </c>
      <c r="B6">
        <v>65.599999999999994</v>
      </c>
      <c r="C6">
        <v>24.3</v>
      </c>
      <c r="D6">
        <v>1.08</v>
      </c>
      <c r="E6">
        <v>896</v>
      </c>
      <c r="F6">
        <v>0.77100000000000002</v>
      </c>
      <c r="G6">
        <v>0.97030000000000005</v>
      </c>
    </row>
    <row r="7" spans="1:7" x14ac:dyDescent="0.25">
      <c r="A7">
        <v>2.86</v>
      </c>
      <c r="B7">
        <v>65.599999999999994</v>
      </c>
      <c r="C7">
        <v>15.7</v>
      </c>
      <c r="D7">
        <v>1.0640000000000001</v>
      </c>
      <c r="E7">
        <v>903.8</v>
      </c>
      <c r="F7">
        <v>0.79700000000000004</v>
      </c>
      <c r="G7">
        <v>0.98280000000000001</v>
      </c>
    </row>
    <row r="8" spans="1:7" x14ac:dyDescent="0.25">
      <c r="A8">
        <v>1.48</v>
      </c>
      <c r="B8">
        <v>65.599999999999994</v>
      </c>
      <c r="C8">
        <v>11</v>
      </c>
      <c r="D8">
        <v>1.0529999999999999</v>
      </c>
      <c r="E8">
        <v>908.7</v>
      </c>
      <c r="F8">
        <v>0.85399999999999998</v>
      </c>
      <c r="G8">
        <v>0.99070000000000003</v>
      </c>
    </row>
    <row r="9" spans="1:7" x14ac:dyDescent="0.25">
      <c r="A9">
        <v>0.1</v>
      </c>
      <c r="B9">
        <v>65.599999999999994</v>
      </c>
      <c r="C9">
        <v>0</v>
      </c>
      <c r="D9">
        <v>1.03</v>
      </c>
      <c r="E9">
        <v>916.1</v>
      </c>
      <c r="F9">
        <v>1.228</v>
      </c>
      <c r="G9">
        <v>1</v>
      </c>
    </row>
    <row r="10" spans="1:7" x14ac:dyDescent="0.25">
      <c r="A10">
        <v>0.1013</v>
      </c>
      <c r="B10">
        <v>20</v>
      </c>
      <c r="C10">
        <v>0</v>
      </c>
      <c r="D10">
        <v>1</v>
      </c>
      <c r="E10">
        <v>944</v>
      </c>
      <c r="F10">
        <v>1.228</v>
      </c>
      <c r="G10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B46C-3250-4370-8C45-ED189AFD9AA9}">
  <sheetPr codeName="Лист5">
    <tabColor theme="9" tint="0.39997558519241921"/>
  </sheetPr>
  <dimension ref="A1:F5"/>
  <sheetViews>
    <sheetView workbookViewId="0">
      <selection activeCell="D2" sqref="D2"/>
    </sheetView>
  </sheetViews>
  <sheetFormatPr defaultRowHeight="15" x14ac:dyDescent="0.25"/>
  <sheetData>
    <row r="1" spans="1:6" x14ac:dyDescent="0.25">
      <c r="A1" t="s">
        <v>54</v>
      </c>
      <c r="B1" t="s">
        <v>35</v>
      </c>
      <c r="C1" t="s">
        <v>57</v>
      </c>
      <c r="D1" t="s">
        <v>58</v>
      </c>
      <c r="E1" t="s">
        <v>59</v>
      </c>
    </row>
    <row r="2" spans="1:6" x14ac:dyDescent="0.25">
      <c r="A2">
        <v>25.28</v>
      </c>
      <c r="B2">
        <v>65.599999999999994</v>
      </c>
      <c r="D2">
        <v>1.089</v>
      </c>
      <c r="E2">
        <v>885.9</v>
      </c>
      <c r="F2">
        <f>E2/1000</f>
        <v>0.88590000000000002</v>
      </c>
    </row>
    <row r="3" spans="1:6" x14ac:dyDescent="0.25">
      <c r="A3">
        <v>13.18</v>
      </c>
      <c r="B3">
        <v>65.599999999999994</v>
      </c>
      <c r="C3">
        <v>37.6</v>
      </c>
      <c r="D3">
        <v>1.1000000000000001</v>
      </c>
      <c r="E3">
        <v>877.5</v>
      </c>
      <c r="F3">
        <f t="shared" ref="F3:F5" si="0">E3/1000</f>
        <v>0.87749999999999995</v>
      </c>
    </row>
    <row r="4" spans="1:6" x14ac:dyDescent="0.25">
      <c r="A4">
        <v>0.81</v>
      </c>
      <c r="B4">
        <v>49.3</v>
      </c>
      <c r="C4">
        <v>2.8</v>
      </c>
      <c r="D4">
        <v>1.0109999999999999</v>
      </c>
      <c r="E4">
        <v>922.3</v>
      </c>
      <c r="F4">
        <f t="shared" si="0"/>
        <v>0.92230000000000001</v>
      </c>
    </row>
    <row r="5" spans="1:6" x14ac:dyDescent="0.25">
      <c r="A5">
        <v>0.1013</v>
      </c>
      <c r="B5">
        <v>20</v>
      </c>
      <c r="C5">
        <v>40.4</v>
      </c>
      <c r="D5">
        <v>1</v>
      </c>
      <c r="E5">
        <v>929.8</v>
      </c>
      <c r="F5">
        <f t="shared" si="0"/>
        <v>0.92979999999999996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8645-9EE1-43A1-93BD-A890B89D19B4}">
  <sheetPr codeName="Лист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4A88-61A8-4918-BF23-C6E49353BB11}">
  <sheetPr codeName="Лист7">
    <tabColor rgb="FFFF0000"/>
  </sheetPr>
  <dimension ref="A1:B4"/>
  <sheetViews>
    <sheetView workbookViewId="0">
      <selection activeCell="B4" sqref="B4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50</v>
      </c>
      <c r="B1">
        <v>44.2</v>
      </c>
    </row>
    <row r="2" spans="1:2" x14ac:dyDescent="0.25">
      <c r="A2" t="s">
        <v>51</v>
      </c>
      <c r="B2">
        <v>1.109</v>
      </c>
    </row>
    <row r="3" spans="1:2" x14ac:dyDescent="0.25">
      <c r="A3" t="s">
        <v>52</v>
      </c>
      <c r="B3">
        <v>1.119</v>
      </c>
    </row>
    <row r="4" spans="1:2" x14ac:dyDescent="0.25">
      <c r="A4" t="s">
        <v>53</v>
      </c>
      <c r="B4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init_composition</vt:lpstr>
      <vt:lpstr>to_model</vt:lpstr>
      <vt:lpstr>CCE</vt:lpstr>
      <vt:lpstr>DIFLIB</vt:lpstr>
      <vt:lpstr>SEPTEST</vt:lpstr>
      <vt:lpstr>VISC</vt:lpstr>
      <vt:lpstr>STSEP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2026-04-28T14:21:49Z</dcterms:modified>
</cp:coreProperties>
</file>