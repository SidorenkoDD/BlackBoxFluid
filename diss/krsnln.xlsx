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PVT_TSU\diss\"/>
    </mc:Choice>
  </mc:AlternateContent>
  <xr:revisionPtr revIDLastSave="0" documentId="13_ncr:1_{7B053747-F590-4571-B672-9FB29594564B}" xr6:coauthVersionLast="47" xr6:coauthVersionMax="47" xr10:uidLastSave="{00000000-0000-0000-0000-000000000000}"/>
  <bookViews>
    <workbookView xWindow="23955" yWindow="3465" windowWidth="15375" windowHeight="7875" activeTab="1" xr2:uid="{00000000-000D-0000-FFFF-FFFF00000000}"/>
  </bookViews>
  <sheets>
    <sheet name="init" sheetId="1" r:id="rId1"/>
    <sheet name="to_model" sheetId="2" r:id="rId2"/>
    <sheet name="CCE_110C" sheetId="3" r:id="rId3"/>
    <sheet name="CCE_60C" sheetId="4" r:id="rId4"/>
    <sheet name="CCE_20C" sheetId="5" r:id="rId5"/>
    <sheet name="SEPTES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<sst xmlns="http://schemas.openxmlformats.org/spreadsheetml/2006/main" count="609" uniqueCount="415">
  <si>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</si>
  <si>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</si>
  <si>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</si>
  <si>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</si>
  <si>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</si>
  <si>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</si>
  <si>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</si>
  <si>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</si>
  <si>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</si>
  <si>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</si>
  <si>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</si>
  <si>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</si>
  <si>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</si>
  <si>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</si>
  <si>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</si>
  <si>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</si>
  <si>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</si>
  <si>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</si>
  <si>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</si>
  <si>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</si>
  <si>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</si>
  <si>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</si>
  <si>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</si>
  <si>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</si>
  <si>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</si>
  <si>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</si>
  <si>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</si>
  <si>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</si>
  <si>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</si>
  <si>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</si>
  <si>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Component</t>
  </si>
  <si>
    <t>Value</t>
  </si>
  <si>
    <t>C1</t>
  </si>
  <si>
    <t>C2</t>
  </si>
  <si>
    <t>C3</t>
  </si>
  <si>
    <t>iC4</t>
  </si>
  <si>
    <t>nC4</t>
  </si>
  <si>
    <t>nC5</t>
  </si>
  <si>
    <t>iC5</t>
  </si>
  <si>
    <t>N2</t>
  </si>
  <si>
    <t>H2</t>
  </si>
  <si>
    <t>He</t>
  </si>
  <si>
    <t>CO2</t>
  </si>
  <si>
    <t>H2S</t>
  </si>
  <si>
    <t>C36</t>
  </si>
  <si>
    <t>val, %</t>
  </si>
  <si>
    <r>
      <t>Давление, МП</t>
    </r>
    <r>
      <rPr>
        <sz val="12"/>
        <color rgb="FF000000"/>
        <rFont val="Times New Roman"/>
        <family val="1"/>
        <charset val="204"/>
      </rPr>
      <t>а</t>
    </r>
  </si>
  <si>
    <t>Относительный объем нефти</t>
  </si>
  <si>
    <t>Плотность нефти, кг/м³</t>
  </si>
  <si>
    <r>
      <t>Удельный объем нефти, м</t>
    </r>
    <r>
      <rPr>
        <vertAlign val="superscript"/>
        <sz val="12"/>
        <color rgb="FF000000"/>
        <rFont val="Times New Roman"/>
        <family val="1"/>
        <charset val="204"/>
      </rPr>
      <t>3</t>
    </r>
    <r>
      <rPr>
        <sz val="12"/>
        <color rgb="FF000000"/>
        <rFont val="Times New Roman"/>
        <family val="1"/>
        <charset val="204"/>
      </rPr>
      <t>/кг</t>
    </r>
  </si>
  <si>
    <t>Вязкость нефти, мПа•с</t>
  </si>
  <si>
    <r>
      <t>Коэффициент сжимаемости, МПа</t>
    </r>
    <r>
      <rPr>
        <vertAlign val="superscript"/>
        <sz val="10"/>
        <color rgb="FF000000"/>
        <rFont val="Times New Roman"/>
        <family val="1"/>
        <charset val="204"/>
      </rPr>
      <t>-1</t>
    </r>
    <r>
      <rPr>
        <sz val="12"/>
        <color rgb="FF000000"/>
        <rFont val="Times New Roman"/>
        <family val="1"/>
        <charset val="204"/>
      </rPr>
      <t>•10</t>
    </r>
    <r>
      <rPr>
        <vertAlign val="superscript"/>
        <sz val="12"/>
        <color rgb="FF000000"/>
        <rFont val="Times New Roman"/>
        <family val="1"/>
        <charset val="204"/>
      </rPr>
      <t>4</t>
    </r>
  </si>
  <si>
    <r>
      <t>V/V</t>
    </r>
    <r>
      <rPr>
        <vertAlign val="subscript"/>
        <sz val="12"/>
        <color rgb="FF000000"/>
        <rFont val="Times New Roman"/>
        <family val="1"/>
        <charset val="204"/>
      </rPr>
      <t>30,0</t>
    </r>
  </si>
  <si>
    <r>
      <t>V/V</t>
    </r>
    <r>
      <rPr>
        <vertAlign val="subscript"/>
        <sz val="12"/>
        <color rgb="FF000000"/>
        <rFont val="Times New Roman"/>
        <family val="1"/>
        <charset val="204"/>
      </rPr>
      <t>нас.</t>
    </r>
  </si>
  <si>
    <t>30,00</t>
  </si>
  <si>
    <t>1,0000</t>
  </si>
  <si>
    <t>0,9771</t>
  </si>
  <si>
    <t>644,7</t>
  </si>
  <si>
    <t>0,001551</t>
  </si>
  <si>
    <t>0,483</t>
  </si>
  <si>
    <t>-</t>
  </si>
  <si>
    <t>29,00</t>
  </si>
  <si>
    <t>1,0025</t>
  </si>
  <si>
    <t>0,9796</t>
  </si>
  <si>
    <t>643,1</t>
  </si>
  <si>
    <t>0,001555</t>
  </si>
  <si>
    <t>0,479</t>
  </si>
  <si>
    <t>25,11</t>
  </si>
  <si>
    <t>28,00</t>
  </si>
  <si>
    <t>1,0051</t>
  </si>
  <si>
    <t>0,9821</t>
  </si>
  <si>
    <t>641,4</t>
  </si>
  <si>
    <t>0,001559</t>
  </si>
  <si>
    <t>0,474</t>
  </si>
  <si>
    <t>25,48</t>
  </si>
  <si>
    <t>27,00</t>
  </si>
  <si>
    <t>1,0077</t>
  </si>
  <si>
    <t>0,9846</t>
  </si>
  <si>
    <t>639,8</t>
  </si>
  <si>
    <t>0,001563</t>
  </si>
  <si>
    <t>0,470</t>
  </si>
  <si>
    <t>25,85</t>
  </si>
  <si>
    <t>26,00</t>
  </si>
  <si>
    <t>1,0103</t>
  </si>
  <si>
    <t>0,9872</t>
  </si>
  <si>
    <t>638,1</t>
  </si>
  <si>
    <t>0,001567</t>
  </si>
  <si>
    <t>0,465</t>
  </si>
  <si>
    <t>26,23</t>
  </si>
  <si>
    <t>25,00</t>
  </si>
  <si>
    <t>1,0130</t>
  </si>
  <si>
    <t>0,9899</t>
  </si>
  <si>
    <t>636,4</t>
  </si>
  <si>
    <t>0,001571</t>
  </si>
  <si>
    <t>0,461</t>
  </si>
  <si>
    <t>26,60</t>
  </si>
  <si>
    <t>24,00</t>
  </si>
  <si>
    <t>1,0157</t>
  </si>
  <si>
    <t>0,9925</t>
  </si>
  <si>
    <t>634,7</t>
  </si>
  <si>
    <t>0,001576</t>
  </si>
  <si>
    <t>0,456</t>
  </si>
  <si>
    <t>26,98</t>
  </si>
  <si>
    <t>23,40 (Рпл.)</t>
  </si>
  <si>
    <t>1,0174</t>
  </si>
  <si>
    <t>0,9942</t>
  </si>
  <si>
    <t>633,6</t>
  </si>
  <si>
    <t>0,001578</t>
  </si>
  <si>
    <t>0,453</t>
  </si>
  <si>
    <t>27,29</t>
  </si>
  <si>
    <t>23,00</t>
  </si>
  <si>
    <t>1,0185</t>
  </si>
  <si>
    <t>0,9953</t>
  </si>
  <si>
    <t>632,9</t>
  </si>
  <si>
    <t>0,001580</t>
  </si>
  <si>
    <t>0,452</t>
  </si>
  <si>
    <t>27,48</t>
  </si>
  <si>
    <t>22,51</t>
  </si>
  <si>
    <t>1,0199</t>
  </si>
  <si>
    <t>0,9966</t>
  </si>
  <si>
    <t>632,1</t>
  </si>
  <si>
    <t>0,001582</t>
  </si>
  <si>
    <t>0,449</t>
  </si>
  <si>
    <t>27,65</t>
  </si>
  <si>
    <t>22,00</t>
  </si>
  <si>
    <t>1,0214</t>
  </si>
  <si>
    <t>0,9980</t>
  </si>
  <si>
    <t>631,2</t>
  </si>
  <si>
    <t>0,001584</t>
  </si>
  <si>
    <t>0,447</t>
  </si>
  <si>
    <t>27,85</t>
  </si>
  <si>
    <t>21,50</t>
  </si>
  <si>
    <t>1,0228</t>
  </si>
  <si>
    <t>0,9994</t>
  </si>
  <si>
    <t>630,3</t>
  </si>
  <si>
    <t>0,001587</t>
  </si>
  <si>
    <t>0,445</t>
  </si>
  <si>
    <t>28,04</t>
  </si>
  <si>
    <t>21,20 (Рнас.)</t>
  </si>
  <si>
    <t>1,0234</t>
  </si>
  <si>
    <t>629,8</t>
  </si>
  <si>
    <t>0,001588</t>
  </si>
  <si>
    <t>0,443</t>
  </si>
  <si>
    <t>21,01</t>
  </si>
  <si>
    <t>1,0267</t>
  </si>
  <si>
    <t>1,0032</t>
  </si>
  <si>
    <t>20,50</t>
  </si>
  <si>
    <t>1,0355</t>
  </si>
  <si>
    <t>1,0118</t>
  </si>
  <si>
    <t>20,00</t>
  </si>
  <si>
    <t>1,0447</t>
  </si>
  <si>
    <t>1,0209</t>
  </si>
  <si>
    <t>19,51</t>
  </si>
  <si>
    <t>1,0547</t>
  </si>
  <si>
    <t>1,0306</t>
  </si>
  <si>
    <t>19,00</t>
  </si>
  <si>
    <t>1,0656</t>
  </si>
  <si>
    <t>1,0413</t>
  </si>
  <si>
    <t>18,50</t>
  </si>
  <si>
    <t>1,0773</t>
  </si>
  <si>
    <t>1,0527</t>
  </si>
  <si>
    <t>18,00</t>
  </si>
  <si>
    <t>1,0899</t>
  </si>
  <si>
    <t>1,0650</t>
  </si>
  <si>
    <r>
      <t>Давл</t>
    </r>
    <r>
      <rPr>
        <sz val="12"/>
        <color rgb="FF000000"/>
        <rFont val="Times New Roman"/>
        <family val="1"/>
        <charset val="204"/>
      </rPr>
      <t>ение, МПа</t>
    </r>
  </si>
  <si>
    <t>0,9790</t>
  </si>
  <si>
    <t>684,7</t>
  </si>
  <si>
    <t>0,001460</t>
  </si>
  <si>
    <t>1,0016</t>
  </si>
  <si>
    <t>0,9806</t>
  </si>
  <si>
    <t>683,6</t>
  </si>
  <si>
    <t>0,001463</t>
  </si>
  <si>
    <t>16,44</t>
  </si>
  <si>
    <t>1,0033</t>
  </si>
  <si>
    <t>0,9823</t>
  </si>
  <si>
    <t>682,4</t>
  </si>
  <si>
    <t>0,001465</t>
  </si>
  <si>
    <t>16,74</t>
  </si>
  <si>
    <t>1,0050</t>
  </si>
  <si>
    <t>0,9839</t>
  </si>
  <si>
    <t>681,3</t>
  </si>
  <si>
    <t>0,001468</t>
  </si>
  <si>
    <t>17,05</t>
  </si>
  <si>
    <t>1,0068</t>
  </si>
  <si>
    <t>0,9856</t>
  </si>
  <si>
    <t>680,1</t>
  </si>
  <si>
    <t>0,001470</t>
  </si>
  <si>
    <t>17,36</t>
  </si>
  <si>
    <t>1,0086</t>
  </si>
  <si>
    <t>0,9874</t>
  </si>
  <si>
    <t>678,9</t>
  </si>
  <si>
    <t>0,001473</t>
  </si>
  <si>
    <t>17,67</t>
  </si>
  <si>
    <t>1,0104</t>
  </si>
  <si>
    <t>0,9892</t>
  </si>
  <si>
    <t>677,7</t>
  </si>
  <si>
    <t>0,001476</t>
  </si>
  <si>
    <t>17,98</t>
  </si>
  <si>
    <t>1,0115</t>
  </si>
  <si>
    <t>0,9902</t>
  </si>
  <si>
    <t>676,9</t>
  </si>
  <si>
    <t>0,001477</t>
  </si>
  <si>
    <t>18,18</t>
  </si>
  <si>
    <t>1,0141</t>
  </si>
  <si>
    <t>0,9928</t>
  </si>
  <si>
    <t>675,2</t>
  </si>
  <si>
    <t>0,001481</t>
  </si>
  <si>
    <t>18,59</t>
  </si>
  <si>
    <t>1,0180</t>
  </si>
  <si>
    <t>672,6</t>
  </si>
  <si>
    <t>0,001487</t>
  </si>
  <si>
    <t>19,28</t>
  </si>
  <si>
    <t>1,0200</t>
  </si>
  <si>
    <t>0,9986</t>
  </si>
  <si>
    <t>671,3</t>
  </si>
  <si>
    <t>0,001490</t>
  </si>
  <si>
    <t>19,64</t>
  </si>
  <si>
    <t>1,0210</t>
  </si>
  <si>
    <t>0,9996</t>
  </si>
  <si>
    <t>670,6</t>
  </si>
  <si>
    <t>0,001491</t>
  </si>
  <si>
    <t>19,81</t>
  </si>
  <si>
    <t>18,09 (Рнас.)</t>
  </si>
  <si>
    <t>1,0215</t>
  </si>
  <si>
    <t>670,1</t>
  </si>
  <si>
    <t>0,001492</t>
  </si>
  <si>
    <t>1,0230</t>
  </si>
  <si>
    <t>1,0015</t>
  </si>
  <si>
    <t>17,51</t>
  </si>
  <si>
    <t>1,0312</t>
  </si>
  <si>
    <t>1,0095</t>
  </si>
  <si>
    <t>17,00</t>
  </si>
  <si>
    <t>1,0404</t>
  </si>
  <si>
    <t>1,0186</t>
  </si>
  <si>
    <t>16,50</t>
  </si>
  <si>
    <t>1,0505</t>
  </si>
  <si>
    <t>1,0285</t>
  </si>
  <si>
    <t>16,00</t>
  </si>
  <si>
    <t>1,0619</t>
  </si>
  <si>
    <t>1,0396</t>
  </si>
  <si>
    <t>15,50</t>
  </si>
  <si>
    <t>1,0745</t>
  </si>
  <si>
    <t>1,0519</t>
  </si>
  <si>
    <t>15,00</t>
  </si>
  <si>
    <t>1,0884</t>
  </si>
  <si>
    <t>14,50</t>
  </si>
  <si>
    <t>1,1040</t>
  </si>
  <si>
    <t>1,0808</t>
  </si>
  <si>
    <t>Давление, МПа</t>
  </si>
  <si>
    <r>
      <t>Коэффициент сжимаемости, МПа</t>
    </r>
    <r>
      <rPr>
        <vertAlign val="superscript"/>
        <sz val="12"/>
        <color rgb="FF000000"/>
        <rFont val="Times New Roman"/>
        <family val="1"/>
        <charset val="204"/>
      </rPr>
      <t>-1</t>
    </r>
    <r>
      <rPr>
        <sz val="12"/>
        <color rgb="FF000000"/>
        <rFont val="Times New Roman"/>
        <family val="1"/>
        <charset val="204"/>
      </rPr>
      <t>•10</t>
    </r>
    <r>
      <rPr>
        <vertAlign val="superscript"/>
        <sz val="12"/>
        <color rgb="FF000000"/>
        <rFont val="Times New Roman"/>
        <family val="1"/>
        <charset val="204"/>
      </rPr>
      <t>4</t>
    </r>
  </si>
  <si>
    <t>717,1</t>
  </si>
  <si>
    <t>0,001395</t>
  </si>
  <si>
    <t>1,0012</t>
  </si>
  <si>
    <t>0,9818</t>
  </si>
  <si>
    <t>716,2</t>
  </si>
  <si>
    <t>0,001396</t>
  </si>
  <si>
    <t>11,64</t>
  </si>
  <si>
    <t>28,01</t>
  </si>
  <si>
    <t>1,0023</t>
  </si>
  <si>
    <t>0,9829</t>
  </si>
  <si>
    <t>715,4</t>
  </si>
  <si>
    <t>0,001398</t>
  </si>
  <si>
    <t>11,84</t>
  </si>
  <si>
    <t>1,0036</t>
  </si>
  <si>
    <t>0,9841</t>
  </si>
  <si>
    <t>714,5</t>
  </si>
  <si>
    <t>0,001400</t>
  </si>
  <si>
    <t>12,03</t>
  </si>
  <si>
    <t>1,0048</t>
  </si>
  <si>
    <t>0,9853</t>
  </si>
  <si>
    <t>713,6</t>
  </si>
  <si>
    <t>0,001401</t>
  </si>
  <si>
    <t>12,23</t>
  </si>
  <si>
    <t>1,0060</t>
  </si>
  <si>
    <t>0,9865</t>
  </si>
  <si>
    <t>712,8</t>
  </si>
  <si>
    <t>0,001403</t>
  </si>
  <si>
    <t>12,43</t>
  </si>
  <si>
    <t>1,0073</t>
  </si>
  <si>
    <t>0,9878</t>
  </si>
  <si>
    <t>711,9</t>
  </si>
  <si>
    <t>0,001405</t>
  </si>
  <si>
    <t>12,63</t>
  </si>
  <si>
    <t>1,0081</t>
  </si>
  <si>
    <t>0,9885</t>
  </si>
  <si>
    <t>711,3</t>
  </si>
  <si>
    <t>0,001406</t>
  </si>
  <si>
    <t>12,75</t>
  </si>
  <si>
    <t>21,00</t>
  </si>
  <si>
    <t>1,0113</t>
  </si>
  <si>
    <t>0,9916</t>
  </si>
  <si>
    <t>709,1</t>
  </si>
  <si>
    <t>0,001410</t>
  </si>
  <si>
    <t>13,23</t>
  </si>
  <si>
    <t>1,0140</t>
  </si>
  <si>
    <t>0,9943</t>
  </si>
  <si>
    <t>707,2</t>
  </si>
  <si>
    <t>0,001414</t>
  </si>
  <si>
    <t>13,62</t>
  </si>
  <si>
    <t>1,0154</t>
  </si>
  <si>
    <t>0,9957</t>
  </si>
  <si>
    <t>706,2</t>
  </si>
  <si>
    <t>0,001416</t>
  </si>
  <si>
    <t>13,85</t>
  </si>
  <si>
    <t>1,0168</t>
  </si>
  <si>
    <t>0,9971</t>
  </si>
  <si>
    <t>705,2</t>
  </si>
  <si>
    <t>0,001418</t>
  </si>
  <si>
    <t>14,05</t>
  </si>
  <si>
    <t>1,0183</t>
  </si>
  <si>
    <t>0,9985</t>
  </si>
  <si>
    <t>704,2</t>
  </si>
  <si>
    <t>0,001420</t>
  </si>
  <si>
    <t>14,26</t>
  </si>
  <si>
    <t>1,0198</t>
  </si>
  <si>
    <t>703,2</t>
  </si>
  <si>
    <t>0,001422</t>
  </si>
  <si>
    <t>14,46</t>
  </si>
  <si>
    <t>14,73 (Рнас.)</t>
  </si>
  <si>
    <t>702,9</t>
  </si>
  <si>
    <t>0,001423</t>
  </si>
  <si>
    <t>1,0237</t>
  </si>
  <si>
    <t>1,0038</t>
  </si>
  <si>
    <t>13,99</t>
  </si>
  <si>
    <t>1,0321</t>
  </si>
  <si>
    <t>1,0121</t>
  </si>
  <si>
    <t>13,50</t>
  </si>
  <si>
    <t>1,0431</t>
  </si>
  <si>
    <t>13,00</t>
  </si>
  <si>
    <t>1,0555</t>
  </si>
  <si>
    <t>1,0350</t>
  </si>
  <si>
    <t>12,50</t>
  </si>
  <si>
    <t>1,0702</t>
  </si>
  <si>
    <t>1,0495</t>
  </si>
  <si>
    <t>12,00</t>
  </si>
  <si>
    <t>1,0874</t>
  </si>
  <si>
    <t>1,0663</t>
  </si>
  <si>
    <t>11,50</t>
  </si>
  <si>
    <t>1,1066</t>
  </si>
  <si>
    <t>1,0851</t>
  </si>
  <si>
    <r>
      <t xml:space="preserve">Температ-ура, </t>
    </r>
    <r>
      <rPr>
        <sz val="12"/>
        <color theme="1"/>
        <rFont val="Calibri"/>
        <family val="2"/>
        <charset val="204"/>
      </rPr>
      <t>°</t>
    </r>
    <r>
      <rPr>
        <sz val="12"/>
        <color theme="1"/>
        <rFont val="Times New Roman"/>
        <family val="1"/>
        <charset val="204"/>
      </rPr>
      <t>C</t>
    </r>
  </si>
  <si>
    <r>
      <t>Газосодержание, 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/м</t>
    </r>
    <r>
      <rPr>
        <vertAlign val="superscript"/>
        <sz val="12"/>
        <color theme="1"/>
        <rFont val="Times New Roman"/>
        <family val="1"/>
        <charset val="204"/>
      </rPr>
      <t>3</t>
    </r>
  </si>
  <si>
    <r>
      <t>Газосодержание, 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/т</t>
    </r>
  </si>
  <si>
    <t>Объемный коэффициент нефти</t>
  </si>
  <si>
    <r>
      <t>Плотность нефти, кг/м</t>
    </r>
    <r>
      <rPr>
        <vertAlign val="superscript"/>
        <sz val="12"/>
        <color theme="1"/>
        <rFont val="Times New Roman"/>
        <family val="1"/>
        <charset val="204"/>
      </rPr>
      <t>3</t>
    </r>
  </si>
  <si>
    <t>Газ выделившийся</t>
  </si>
  <si>
    <t>Газ в растворе</t>
  </si>
  <si>
    <t>110,0</t>
  </si>
  <si>
    <t>158,85</t>
  </si>
  <si>
    <t>193,54</t>
  </si>
  <si>
    <t>1,523</t>
  </si>
  <si>
    <t>21,20</t>
  </si>
  <si>
    <t>1,559</t>
  </si>
  <si>
    <t>0,55</t>
  </si>
  <si>
    <t>25,0</t>
  </si>
  <si>
    <t>145,51</t>
  </si>
  <si>
    <t>13,33</t>
  </si>
  <si>
    <t>177,29</t>
  </si>
  <si>
    <t>16,25</t>
  </si>
  <si>
    <t>1,048</t>
  </si>
  <si>
    <t>803,2</t>
  </si>
  <si>
    <t>0,16</t>
  </si>
  <si>
    <t>152,70</t>
  </si>
  <si>
    <t>6,14</t>
  </si>
  <si>
    <t>186,05</t>
  </si>
  <si>
    <t>7,48</t>
  </si>
  <si>
    <t>1,027</t>
  </si>
  <si>
    <t>809,8</t>
  </si>
  <si>
    <t>0,00</t>
  </si>
  <si>
    <t>20,0</t>
  </si>
  <si>
    <t>158,8</t>
  </si>
  <si>
    <t>1,000</t>
  </si>
  <si>
    <t>820,8</t>
  </si>
  <si>
    <t>Молярная масса компонента, г/моль</t>
  </si>
  <si>
    <t>34,081</t>
  </si>
  <si>
    <t>44,010</t>
  </si>
  <si>
    <t>4,003</t>
  </si>
  <si>
    <t>2,016</t>
  </si>
  <si>
    <t>28,013</t>
  </si>
  <si>
    <t>16,043</t>
  </si>
  <si>
    <t>30,070</t>
  </si>
  <si>
    <t>44,097</t>
  </si>
  <si>
    <t>58,123</t>
  </si>
  <si>
    <t>72,150</t>
  </si>
  <si>
    <t>84,000</t>
  </si>
  <si>
    <t>96,000</t>
  </si>
  <si>
    <t>107,000</t>
  </si>
  <si>
    <t>121,000</t>
  </si>
  <si>
    <t>134,000</t>
  </si>
  <si>
    <t>147,000</t>
  </si>
  <si>
    <t>161,000</t>
  </si>
  <si>
    <t>175,000</t>
  </si>
  <si>
    <t>190,000</t>
  </si>
  <si>
    <t>206,000</t>
  </si>
  <si>
    <t>222,000</t>
  </si>
  <si>
    <t>237,000</t>
  </si>
  <si>
    <t>251,000</t>
  </si>
  <si>
    <t>263,000</t>
  </si>
  <si>
    <t>275,000</t>
  </si>
  <si>
    <t>291,000</t>
  </si>
  <si>
    <t>305,000</t>
  </si>
  <si>
    <t>318,000</t>
  </si>
  <si>
    <t>331,000</t>
  </si>
  <si>
    <t>345,000</t>
  </si>
  <si>
    <t>359,000</t>
  </si>
  <si>
    <t>374,000</t>
  </si>
  <si>
    <t>388,000</t>
  </si>
  <si>
    <t>402,000</t>
  </si>
  <si>
    <t>416,000</t>
  </si>
  <si>
    <t>430,000</t>
  </si>
  <si>
    <t>444,000</t>
  </si>
  <si>
    <t>458,000</t>
  </si>
  <si>
    <t>472,000</t>
  </si>
  <si>
    <t>486,000</t>
  </si>
  <si>
    <t>650,009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</si>
</sst>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vertAlign val="superscript"/>
      <sz val="12"/>
      <color rgb="FF000000"/>
      <name val="Times New Roman"/>
      <family val="1"/>
      <charset val="204"/>
    </font>
    <font>
      <vertAlign val="superscript"/>
      <sz val="10"/>
      <color rgb="FF000000"/>
      <name val="Times New Roman"/>
      <family val="1"/>
      <charset val="204"/>
    </font>
    <font>
      <vertAlign val="subscript"/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Calibri"/>
      <family val="2"/>
      <charset val="204"/>
    </font>
    <font>
      <vertAlign val="superscript"/>
      <sz val="12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4" fillId="0" borderId="0" xfId="0" applyFont="1"/>
    <xf numFmtId="0" fontId="2" fillId="2" borderId="2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vertical="center" wrapText="1"/>
    </xf>
    <xf numFmtId="0" fontId="3" fillId="0" borderId="0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3" fillId="0" borderId="0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8"/>
  <sheetViews>
    <sheetView workbookViewId="0">
      <selection activeCell="I8" sqref="I8"/>
    </sheetView>
  </sheetViews>
  <sheetFormatPr defaultRowHeight="15" x14ac:dyDescent="0.25"/>
  <cols>
    <col min="1" max="2" width="17.85546875" customWidth="1"/>
    <col min="6" max="16384" width="9.140625" style="16"/>
  </cols>
  <sheetData>
    <row r="1" spans="1:13" customFormat="1" ht="15.75" customHeight="1" thickBot="1" x14ac:dyDescent="0.3">
      <c r="A1" t="s">
        <v>30</v>
      </c>
      <c r="B1" s="14" t="s">
        <v>373</v>
      </c>
      <c r="C1" t="s">
        <v>45</v>
      </c>
    </row>
    <row r="2" spans="1:13" ht="15.75" customHeight="1" thickBot="1" x14ac:dyDescent="0.3">
      <c r="A2" s="1" t="s">
        <v>43</v>
      </c>
      <c r="B2" s="3" t="s">
        <v>374</v>
      </c>
      <c r="C2" s="3">
        <v>0</v>
      </c>
      <c r="F2" s="15"/>
    </row>
    <row r="3" spans="1:13" ht="43.5" customHeight="1" thickBot="1" x14ac:dyDescent="0.3">
      <c r="A3" s="2" t="s">
        <v>42</v>
      </c>
      <c r="B3" s="3" t="s">
        <v>375</v>
      </c>
      <c r="C3" s="3">
        <v>1.423</v>
      </c>
      <c r="F3" s="15"/>
      <c r="L3" s="18"/>
      <c r="M3" s="17"/>
    </row>
    <row r="4" spans="1:13" ht="15.75" thickBot="1" x14ac:dyDescent="0.3">
      <c r="A4" s="7" t="s">
        <v>41</v>
      </c>
      <c r="B4" s="3" t="s">
        <v>376</v>
      </c>
      <c r="C4" s="3">
        <v>7.0000000000000001E-3</v>
      </c>
      <c r="F4" s="15"/>
      <c r="L4" s="18"/>
      <c r="M4" s="17"/>
    </row>
    <row r="5" spans="1:13" ht="15.75" thickBot="1" x14ac:dyDescent="0.3">
      <c r="A5" s="7" t="s">
        <v>40</v>
      </c>
      <c r="B5" s="3" t="s">
        <v>377</v>
      </c>
      <c r="C5" s="3">
        <v>2E-3</v>
      </c>
      <c r="F5" s="15"/>
      <c r="L5" s="18"/>
      <c r="M5" s="17"/>
    </row>
    <row r="6" spans="1:13" ht="15.75" thickBot="1" x14ac:dyDescent="0.3">
      <c r="A6" s="2" t="s">
        <v>39</v>
      </c>
      <c r="B6" s="3" t="s">
        <v>378</v>
      </c>
      <c r="C6" s="3">
        <v>0.31900000000000001</v>
      </c>
      <c r="D6">
        <f>SUM(C4:C6)</f>
        <v>0.32800000000000001</v>
      </c>
      <c r="F6" s="15"/>
      <c r="L6" s="15"/>
      <c r="M6" s="17"/>
    </row>
    <row r="7" spans="1:13" ht="15.75" thickBot="1" x14ac:dyDescent="0.3">
      <c r="A7" s="2" t="s">
        <v>32</v>
      </c>
      <c r="B7" s="3" t="s">
        <v>379</v>
      </c>
      <c r="C7" s="3">
        <v>39.345999999999997</v>
      </c>
      <c r="F7" s="15"/>
      <c r="L7" s="15"/>
      <c r="M7" s="17"/>
    </row>
    <row r="8" spans="1:13" ht="15.75" thickBot="1" x14ac:dyDescent="0.3">
      <c r="A8" s="2" t="s">
        <v>33</v>
      </c>
      <c r="B8" s="3" t="s">
        <v>380</v>
      </c>
      <c r="C8" s="3">
        <v>10.478</v>
      </c>
      <c r="F8" s="15"/>
      <c r="L8" s="15"/>
      <c r="M8" s="17"/>
    </row>
    <row r="9" spans="1:13" ht="15.75" thickBot="1" x14ac:dyDescent="0.3">
      <c r="A9" s="2" t="s">
        <v>34</v>
      </c>
      <c r="B9" s="3" t="s">
        <v>381</v>
      </c>
      <c r="C9" s="3">
        <v>8.0009999999999994</v>
      </c>
      <c r="F9" s="15"/>
      <c r="L9" s="15"/>
      <c r="M9" s="17"/>
    </row>
    <row r="10" spans="1:13" ht="15.75" thickBot="1" x14ac:dyDescent="0.3">
      <c r="A10" s="2" t="s">
        <v>35</v>
      </c>
      <c r="B10" s="3" t="s">
        <v>382</v>
      </c>
      <c r="C10" s="3">
        <v>1.0309999999999999</v>
      </c>
      <c r="F10" s="15"/>
      <c r="L10" s="15"/>
      <c r="M10" s="17"/>
    </row>
    <row r="11" spans="1:13" ht="15.75" thickBot="1" x14ac:dyDescent="0.3">
      <c r="A11" s="2" t="s">
        <v>36</v>
      </c>
      <c r="B11" s="3" t="s">
        <v>382</v>
      </c>
      <c r="C11" s="3">
        <v>3.3140000000000001</v>
      </c>
      <c r="F11" s="15"/>
      <c r="L11" s="15"/>
      <c r="M11" s="17"/>
    </row>
    <row r="12" spans="1:13" ht="15.75" thickBot="1" x14ac:dyDescent="0.3">
      <c r="A12" s="2" t="s">
        <v>38</v>
      </c>
      <c r="B12" s="3" t="s">
        <v>383</v>
      </c>
      <c r="C12" s="3">
        <v>0.96199999999999997</v>
      </c>
      <c r="F12" s="15"/>
      <c r="L12" s="15"/>
      <c r="M12" s="17"/>
    </row>
    <row r="13" spans="1:13" ht="15.75" thickBot="1" x14ac:dyDescent="0.3">
      <c r="A13" s="2" t="s">
        <v>37</v>
      </c>
      <c r="B13" s="3" t="s">
        <v>383</v>
      </c>
      <c r="C13" s="3">
        <v>1.889</v>
      </c>
      <c r="F13" s="15"/>
      <c r="L13" s="15"/>
      <c r="M13" s="17"/>
    </row>
    <row r="14" spans="1:13" ht="15.75" thickBot="1" x14ac:dyDescent="0.3">
      <c r="A14" s="2" t="s">
        <v>0</v>
      </c>
      <c r="B14" s="3" t="s">
        <v>384</v>
      </c>
      <c r="C14" s="3">
        <v>2.3540000000000001</v>
      </c>
      <c r="F14" s="15"/>
      <c r="L14" s="15"/>
      <c r="M14" s="17"/>
    </row>
    <row r="15" spans="1:13" ht="15.75" thickBot="1" x14ac:dyDescent="0.3">
      <c r="A15" s="2" t="s">
        <v>1</v>
      </c>
      <c r="B15" s="3" t="s">
        <v>385</v>
      </c>
      <c r="C15" s="3">
        <v>3.2650000000000001</v>
      </c>
      <c r="F15" s="15"/>
      <c r="L15" s="15"/>
      <c r="M15" s="17"/>
    </row>
    <row r="16" spans="1:13" ht="15.75" thickBot="1" x14ac:dyDescent="0.3">
      <c r="A16" s="2" t="s">
        <v>2</v>
      </c>
      <c r="B16" s="3" t="s">
        <v>386</v>
      </c>
      <c r="C16" s="3">
        <v>3.347</v>
      </c>
      <c r="F16" s="15"/>
      <c r="L16" s="15"/>
      <c r="M16" s="17"/>
    </row>
    <row r="17" spans="1:13" ht="15.75" thickBot="1" x14ac:dyDescent="0.3">
      <c r="A17" s="2" t="s">
        <v>3</v>
      </c>
      <c r="B17" s="3" t="s">
        <v>387</v>
      </c>
      <c r="C17" s="3">
        <v>2.786</v>
      </c>
      <c r="F17" s="15"/>
      <c r="L17" s="15"/>
      <c r="M17" s="17"/>
    </row>
    <row r="18" spans="1:13" ht="15.75" thickBot="1" x14ac:dyDescent="0.3">
      <c r="A18" s="2" t="s">
        <v>4</v>
      </c>
      <c r="B18" s="3" t="s">
        <v>388</v>
      </c>
      <c r="C18" s="3">
        <v>2.3980000000000001</v>
      </c>
      <c r="F18" s="15"/>
      <c r="L18" s="15"/>
      <c r="M18" s="17"/>
    </row>
    <row r="19" spans="1:13" ht="15.75" thickBot="1" x14ac:dyDescent="0.3">
      <c r="A19" s="2" t="s">
        <v>5</v>
      </c>
      <c r="B19" s="3" t="s">
        <v>389</v>
      </c>
      <c r="C19" s="3">
        <v>1.968</v>
      </c>
      <c r="F19" s="15"/>
      <c r="L19" s="15"/>
      <c r="M19" s="17"/>
    </row>
    <row r="20" spans="1:13" ht="15.75" thickBot="1" x14ac:dyDescent="0.3">
      <c r="A20" s="2" t="s">
        <v>6</v>
      </c>
      <c r="B20" s="3" t="s">
        <v>390</v>
      </c>
      <c r="C20" s="3">
        <v>1.6259999999999999</v>
      </c>
      <c r="F20" s="15"/>
      <c r="L20" s="15"/>
      <c r="M20" s="17"/>
    </row>
    <row r="21" spans="1:13" ht="15.75" thickBot="1" x14ac:dyDescent="0.3">
      <c r="A21" s="2" t="s">
        <v>7</v>
      </c>
      <c r="B21" s="3" t="s">
        <v>391</v>
      </c>
      <c r="C21" s="3">
        <v>1.6020000000000001</v>
      </c>
      <c r="F21" s="15"/>
      <c r="L21" s="15"/>
      <c r="M21" s="17"/>
    </row>
    <row r="22" spans="1:13" ht="15.75" thickBot="1" x14ac:dyDescent="0.3">
      <c r="A22" s="2" t="s">
        <v>8</v>
      </c>
      <c r="B22" s="3" t="s">
        <v>392</v>
      </c>
      <c r="C22" s="3">
        <v>1.4179999999999999</v>
      </c>
      <c r="F22" s="15"/>
      <c r="L22" s="15"/>
      <c r="M22" s="17"/>
    </row>
    <row r="23" spans="1:13" ht="15.75" thickBot="1" x14ac:dyDescent="0.3">
      <c r="A23" s="2" t="s">
        <v>9</v>
      </c>
      <c r="B23" s="3" t="s">
        <v>393</v>
      </c>
      <c r="C23" s="3">
        <v>1.1739999999999999</v>
      </c>
      <c r="F23" s="15"/>
      <c r="L23" s="15"/>
      <c r="M23" s="17"/>
    </row>
    <row r="24" spans="1:13" ht="15.75" thickBot="1" x14ac:dyDescent="0.3">
      <c r="A24" s="2" t="s">
        <v>10</v>
      </c>
      <c r="B24" s="3" t="s">
        <v>394</v>
      </c>
      <c r="C24" s="3">
        <v>1.0029999999999999</v>
      </c>
      <c r="F24" s="15"/>
      <c r="L24" s="15"/>
      <c r="M24" s="17"/>
    </row>
    <row r="25" spans="1:13" ht="15.75" thickBot="1" x14ac:dyDescent="0.3">
      <c r="A25" s="2" t="s">
        <v>11</v>
      </c>
      <c r="B25" s="3" t="s">
        <v>395</v>
      </c>
      <c r="C25" s="3">
        <v>0.86899999999999999</v>
      </c>
      <c r="F25" s="15"/>
      <c r="L25" s="15"/>
      <c r="M25" s="17"/>
    </row>
    <row r="26" spans="1:13" ht="15.75" thickBot="1" x14ac:dyDescent="0.3">
      <c r="A26" s="2" t="s">
        <v>12</v>
      </c>
      <c r="B26" s="3" t="s">
        <v>396</v>
      </c>
      <c r="C26" s="3">
        <v>0.81299999999999994</v>
      </c>
      <c r="F26" s="15"/>
      <c r="L26" s="15"/>
      <c r="M26" s="17"/>
    </row>
    <row r="27" spans="1:13" ht="15.75" thickBot="1" x14ac:dyDescent="0.3">
      <c r="A27" s="2" t="s">
        <v>13</v>
      </c>
      <c r="B27" s="3" t="s">
        <v>397</v>
      </c>
      <c r="C27" s="3">
        <v>0.75600000000000001</v>
      </c>
      <c r="F27" s="15"/>
      <c r="L27" s="15"/>
      <c r="M27" s="17"/>
    </row>
    <row r="28" spans="1:13" ht="15.75" thickBot="1" x14ac:dyDescent="0.3">
      <c r="A28" s="2" t="s">
        <v>14</v>
      </c>
      <c r="B28" s="3" t="s">
        <v>398</v>
      </c>
      <c r="C28" s="3">
        <v>0.67</v>
      </c>
      <c r="F28" s="15"/>
      <c r="L28" s="15"/>
      <c r="M28" s="17"/>
    </row>
    <row r="29" spans="1:13" ht="15.75" thickBot="1" x14ac:dyDescent="0.3">
      <c r="A29" s="2" t="s">
        <v>15</v>
      </c>
      <c r="B29" s="3" t="s">
        <v>399</v>
      </c>
      <c r="C29" s="3">
        <v>0.52700000000000002</v>
      </c>
      <c r="F29" s="15"/>
      <c r="L29" s="15"/>
      <c r="M29" s="17"/>
    </row>
    <row r="30" spans="1:13" ht="15.75" thickBot="1" x14ac:dyDescent="0.3">
      <c r="A30" s="2" t="s">
        <v>16</v>
      </c>
      <c r="B30" s="3" t="s">
        <v>400</v>
      </c>
      <c r="C30" s="3">
        <v>0.51300000000000001</v>
      </c>
      <c r="F30" s="15"/>
      <c r="L30" s="15"/>
      <c r="M30" s="17"/>
    </row>
    <row r="31" spans="1:13" ht="15.75" thickBot="1" x14ac:dyDescent="0.3">
      <c r="A31" s="2" t="s">
        <v>17</v>
      </c>
      <c r="B31" s="3" t="s">
        <v>401</v>
      </c>
      <c r="C31" s="3">
        <v>0.437</v>
      </c>
      <c r="F31" s="15"/>
      <c r="L31" s="15"/>
      <c r="M31" s="17"/>
    </row>
    <row r="32" spans="1:13" ht="15.75" thickBot="1" x14ac:dyDescent="0.3">
      <c r="A32" s="2" t="s">
        <v>18</v>
      </c>
      <c r="B32" s="3" t="s">
        <v>402</v>
      </c>
      <c r="C32" s="3">
        <v>0.39600000000000002</v>
      </c>
      <c r="F32" s="15"/>
      <c r="L32" s="15"/>
      <c r="M32" s="17"/>
    </row>
    <row r="33" spans="1:13" ht="15.75" thickBot="1" x14ac:dyDescent="0.3">
      <c r="A33" s="2" t="s">
        <v>19</v>
      </c>
      <c r="B33" s="3" t="s">
        <v>403</v>
      </c>
      <c r="C33" s="3">
        <v>0.40600000000000003</v>
      </c>
      <c r="F33" s="15"/>
      <c r="L33" s="15"/>
      <c r="M33" s="17"/>
    </row>
    <row r="34" spans="1:13" ht="15.75" thickBot="1" x14ac:dyDescent="0.3">
      <c r="A34" s="2" t="s">
        <v>20</v>
      </c>
      <c r="B34" s="3" t="s">
        <v>404</v>
      </c>
      <c r="C34" s="3">
        <v>0.32800000000000001</v>
      </c>
      <c r="F34" s="15"/>
      <c r="L34" s="15"/>
      <c r="M34" s="17"/>
    </row>
    <row r="35" spans="1:13" ht="15.75" thickBot="1" x14ac:dyDescent="0.3">
      <c r="A35" s="2" t="s">
        <v>21</v>
      </c>
      <c r="B35" s="3" t="s">
        <v>405</v>
      </c>
      <c r="C35" s="3">
        <v>0.315</v>
      </c>
      <c r="F35" s="15"/>
      <c r="L35" s="15"/>
      <c r="M35" s="17"/>
    </row>
    <row r="36" spans="1:13" ht="15.75" thickBot="1" x14ac:dyDescent="0.3">
      <c r="A36" s="2" t="s">
        <v>22</v>
      </c>
      <c r="B36" s="3" t="s">
        <v>406</v>
      </c>
      <c r="C36" s="3">
        <v>0.26600000000000001</v>
      </c>
      <c r="F36" s="15"/>
      <c r="L36" s="15"/>
      <c r="M36" s="17"/>
    </row>
    <row r="37" spans="1:13" ht="15.75" thickBot="1" x14ac:dyDescent="0.3">
      <c r="A37" s="2" t="s">
        <v>23</v>
      </c>
      <c r="B37" s="3" t="s">
        <v>407</v>
      </c>
      <c r="C37" s="3">
        <v>0.26100000000000001</v>
      </c>
      <c r="F37" s="15"/>
      <c r="L37" s="15"/>
      <c r="M37" s="17"/>
    </row>
    <row r="38" spans="1:13" ht="15.75" thickBot="1" x14ac:dyDescent="0.3">
      <c r="A38" s="2" t="s">
        <v>24</v>
      </c>
      <c r="B38" s="3" t="s">
        <v>408</v>
      </c>
      <c r="C38" s="3">
        <v>0.246</v>
      </c>
      <c r="F38" s="15"/>
      <c r="L38" s="15"/>
      <c r="M38" s="17"/>
    </row>
    <row r="39" spans="1:13" ht="15.75" thickBot="1" x14ac:dyDescent="0.3">
      <c r="A39" s="2" t="s">
        <v>25</v>
      </c>
      <c r="B39" s="3" t="s">
        <v>409</v>
      </c>
      <c r="C39" s="3">
        <v>0.224</v>
      </c>
      <c r="F39" s="15"/>
      <c r="L39" s="15"/>
      <c r="M39" s="17"/>
    </row>
    <row r="40" spans="1:13" ht="15.75" thickBot="1" x14ac:dyDescent="0.3">
      <c r="A40" s="2" t="s">
        <v>26</v>
      </c>
      <c r="B40" s="3" t="s">
        <v>410</v>
      </c>
      <c r="C40" s="3">
        <v>0.19800000000000001</v>
      </c>
      <c r="F40" s="15"/>
      <c r="L40" s="15"/>
      <c r="M40" s="17"/>
    </row>
    <row r="41" spans="1:13" ht="15.75" thickBot="1" x14ac:dyDescent="0.3">
      <c r="A41" s="2" t="s">
        <v>27</v>
      </c>
      <c r="B41" s="3" t="s">
        <v>411</v>
      </c>
      <c r="C41" s="3">
        <v>0.18099999999999999</v>
      </c>
      <c r="F41" s="15"/>
      <c r="L41" s="15"/>
      <c r="M41" s="17"/>
    </row>
    <row r="42" spans="1:13" ht="15.75" thickBot="1" x14ac:dyDescent="0.3">
      <c r="A42" s="2" t="s">
        <v>28</v>
      </c>
      <c r="B42" s="3" t="s">
        <v>412</v>
      </c>
      <c r="C42" s="3">
        <v>0.16800000000000001</v>
      </c>
      <c r="F42" s="15"/>
      <c r="L42" s="15"/>
      <c r="M42" s="17"/>
    </row>
    <row r="43" spans="1:13" ht="15.75" thickBot="1" x14ac:dyDescent="0.3">
      <c r="A43" s="2" t="s">
        <v>29</v>
      </c>
      <c r="B43" s="3" t="s">
        <v>413</v>
      </c>
      <c r="C43" s="3">
        <v>0.161</v>
      </c>
      <c r="F43" s="15"/>
      <c r="L43" s="15"/>
      <c r="M43" s="17"/>
    </row>
    <row r="44" spans="1:13" ht="15.75" thickBot="1" x14ac:dyDescent="0.3">
      <c r="A44" s="2" t="s">
        <v>44</v>
      </c>
      <c r="B44" s="3" t="s">
        <v>414</v>
      </c>
      <c r="C44" s="3">
        <v>2.5529999999999999</v>
      </c>
      <c r="F44" s="15"/>
      <c r="L44" s="15"/>
      <c r="M44" s="17"/>
    </row>
    <row r="45" spans="1:13" x14ac:dyDescent="0.25">
      <c r="B45" s="16"/>
      <c r="L45" s="15"/>
      <c r="M45" s="17"/>
    </row>
    <row r="46" spans="1:13" x14ac:dyDescent="0.25">
      <c r="B46" s="16"/>
      <c r="L46" s="15"/>
      <c r="M46" s="17"/>
    </row>
    <row r="47" spans="1:13" x14ac:dyDescent="0.25">
      <c r="L47" s="15"/>
      <c r="M47" s="17"/>
    </row>
    <row r="48" spans="1:13" x14ac:dyDescent="0.25">
      <c r="L48" s="15"/>
      <c r="M48" s="17"/>
    </row>
  </sheetData>
  <mergeCells count="1">
    <mergeCell ref="L3:L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D19-2929-4A16-85A0-0C9C9A33B84E}">
  <dimension ref="A1:AO44"/>
  <sheetViews>
    <sheetView tabSelected="1" workbookViewId="0">
      <selection activeCell="B2" sqref="B2"/>
    </sheetView>
  </sheetViews>
  <sheetFormatPr defaultRowHeight="15" x14ac:dyDescent="0.25"/>
  <sheetData>
    <row r="1" spans="1:41" x14ac:dyDescent="0.25">
      <c r="A1" t="s">
        <v>30</v>
      </c>
      <c r="B1" t="s">
        <v>31</v>
      </c>
    </row>
    <row r="2" spans="1:41" ht="15.75" thickBot="1" x14ac:dyDescent="0.3">
      <c r="A2" s="2" t="s">
        <v>39</v>
      </c>
      <c r="B2">
        <v>3.2799999999999999E-3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ht="15.75" thickBot="1" x14ac:dyDescent="0.3">
      <c r="A3" s="2" t="s">
        <v>42</v>
      </c>
      <c r="B3">
        <v>1.423E-2</v>
      </c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ht="15.75" thickBot="1" x14ac:dyDescent="0.3">
      <c r="A4" s="2" t="s">
        <v>32</v>
      </c>
      <c r="B4">
        <v>0.39345999999999998</v>
      </c>
      <c r="N4" s="4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ht="15.75" thickBot="1" x14ac:dyDescent="0.3">
      <c r="A5" s="2" t="s">
        <v>33</v>
      </c>
      <c r="B5">
        <v>0.10478</v>
      </c>
      <c r="N5" s="4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ht="15.75" thickBot="1" x14ac:dyDescent="0.3">
      <c r="A6" s="2" t="s">
        <v>34</v>
      </c>
      <c r="B6">
        <v>8.0009999999999998E-2</v>
      </c>
      <c r="N6" s="4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ht="15.75" thickBot="1" x14ac:dyDescent="0.3">
      <c r="A7" s="2" t="s">
        <v>35</v>
      </c>
      <c r="B7">
        <v>1.031E-2</v>
      </c>
      <c r="N7" s="4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ht="15.75" thickBot="1" x14ac:dyDescent="0.3">
      <c r="A8" s="2" t="s">
        <v>36</v>
      </c>
      <c r="B8">
        <v>3.3140000000000003E-2</v>
      </c>
      <c r="N8" s="4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ht="15.75" thickBot="1" x14ac:dyDescent="0.3">
      <c r="A9" s="2" t="s">
        <v>38</v>
      </c>
      <c r="B9">
        <v>9.6200000000000001E-3</v>
      </c>
      <c r="N9" s="4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ht="15.75" thickBot="1" x14ac:dyDescent="0.3">
      <c r="A10" s="2" t="s">
        <v>37</v>
      </c>
      <c r="B10">
        <v>1.8890000000000001E-2</v>
      </c>
      <c r="N10" s="4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ht="15.75" thickBot="1" x14ac:dyDescent="0.3">
      <c r="A11" s="2" t="s">
        <v>0</v>
      </c>
      <c r="B11">
        <v>2.3540000000000002E-2</v>
      </c>
      <c r="N11" s="4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ht="15.75" thickBot="1" x14ac:dyDescent="0.3">
      <c r="A12" s="2" t="s">
        <v>1</v>
      </c>
      <c r="B12">
        <v>3.2649999999999998E-2</v>
      </c>
      <c r="N12" s="4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ht="15.75" thickBot="1" x14ac:dyDescent="0.3">
      <c r="A13" s="2" t="s">
        <v>2</v>
      </c>
      <c r="B13">
        <v>3.347E-2</v>
      </c>
      <c r="N13" s="4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ht="15.75" thickBot="1" x14ac:dyDescent="0.3">
      <c r="A14" s="2" t="s">
        <v>3</v>
      </c>
      <c r="B14">
        <v>2.7859999999999999E-2</v>
      </c>
      <c r="N14" s="4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ht="15.75" thickBot="1" x14ac:dyDescent="0.3">
      <c r="A15" s="2" t="s">
        <v>4</v>
      </c>
      <c r="B15">
        <v>2.3980000000000001E-2</v>
      </c>
      <c r="N15" s="4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ht="15.75" thickBot="1" x14ac:dyDescent="0.3">
      <c r="A16" s="2" t="s">
        <v>5</v>
      </c>
      <c r="B16">
        <v>1.968E-2</v>
      </c>
      <c r="N16" s="4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ht="15.75" thickBot="1" x14ac:dyDescent="0.3">
      <c r="A17" s="2" t="s">
        <v>6</v>
      </c>
      <c r="B17">
        <v>1.626E-2</v>
      </c>
      <c r="N17" s="4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ht="15.75" thickBot="1" x14ac:dyDescent="0.3">
      <c r="A18" s="2" t="s">
        <v>7</v>
      </c>
      <c r="B18">
        <v>1.602E-2</v>
      </c>
      <c r="N18" s="4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ht="15.75" thickBot="1" x14ac:dyDescent="0.3">
      <c r="A19" s="2" t="s">
        <v>8</v>
      </c>
      <c r="B19">
        <v>1.418E-2</v>
      </c>
      <c r="N19" s="4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ht="15.75" thickBot="1" x14ac:dyDescent="0.3">
      <c r="A20" s="2" t="s">
        <v>9</v>
      </c>
      <c r="B20">
        <v>1.1739999999999999E-2</v>
      </c>
      <c r="N20" s="4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ht="15.75" thickBot="1" x14ac:dyDescent="0.3">
      <c r="A21" s="2" t="s">
        <v>10</v>
      </c>
      <c r="B21">
        <v>1.0029999999999999E-2</v>
      </c>
      <c r="N21" s="4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ht="15.75" thickBot="1" x14ac:dyDescent="0.3">
      <c r="A22" s="2" t="s">
        <v>11</v>
      </c>
      <c r="B22">
        <v>8.6899999999999998E-3</v>
      </c>
      <c r="N22" s="4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ht="15.75" thickBot="1" x14ac:dyDescent="0.3">
      <c r="A23" s="2" t="s">
        <v>12</v>
      </c>
      <c r="B23">
        <v>8.1300000000000001E-3</v>
      </c>
      <c r="N23" s="4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ht="15.75" thickBot="1" x14ac:dyDescent="0.3">
      <c r="A24" s="2" t="s">
        <v>13</v>
      </c>
      <c r="B24">
        <v>7.5599999999999999E-3</v>
      </c>
      <c r="N24" s="4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ht="15.75" thickBot="1" x14ac:dyDescent="0.3">
      <c r="A25" s="2" t="s">
        <v>14</v>
      </c>
      <c r="B25">
        <v>6.7000000000000002E-3</v>
      </c>
      <c r="N25" s="4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ht="15.75" thickBot="1" x14ac:dyDescent="0.3">
      <c r="A26" s="2" t="s">
        <v>15</v>
      </c>
      <c r="B26">
        <v>5.2700000000000004E-3</v>
      </c>
      <c r="N26" s="4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ht="15.75" thickBot="1" x14ac:dyDescent="0.3">
      <c r="A27" s="2" t="s">
        <v>16</v>
      </c>
      <c r="B27">
        <v>5.13E-3</v>
      </c>
      <c r="N27" s="4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ht="15.75" thickBot="1" x14ac:dyDescent="0.3">
      <c r="A28" s="2" t="s">
        <v>17</v>
      </c>
      <c r="B28">
        <v>4.3699999999999998E-3</v>
      </c>
      <c r="N28" s="4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ht="15.75" thickBot="1" x14ac:dyDescent="0.3">
      <c r="A29" s="2" t="s">
        <v>18</v>
      </c>
      <c r="B29">
        <v>3.96E-3</v>
      </c>
      <c r="N29" s="4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ht="15.75" thickBot="1" x14ac:dyDescent="0.3">
      <c r="A30" s="2" t="s">
        <v>19</v>
      </c>
      <c r="B30">
        <v>4.0600000000000002E-3</v>
      </c>
      <c r="N30" s="4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ht="15.75" thickBot="1" x14ac:dyDescent="0.3">
      <c r="A31" s="2" t="s">
        <v>20</v>
      </c>
      <c r="B31">
        <v>3.2799999999999999E-3</v>
      </c>
      <c r="N31" s="4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ht="15.75" thickBot="1" x14ac:dyDescent="0.3">
      <c r="A32" s="2" t="s">
        <v>21</v>
      </c>
      <c r="B32">
        <v>3.15E-3</v>
      </c>
      <c r="N32" s="4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ht="15.75" thickBot="1" x14ac:dyDescent="0.3">
      <c r="A33" s="2" t="s">
        <v>22</v>
      </c>
      <c r="B33">
        <v>2.66E-3</v>
      </c>
      <c r="N33" s="4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5.75" thickBot="1" x14ac:dyDescent="0.3">
      <c r="A34" s="2" t="s">
        <v>23</v>
      </c>
      <c r="B34">
        <v>2.6099999999999999E-3</v>
      </c>
      <c r="N34" s="4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</row>
    <row r="35" spans="1:41" ht="15.75" thickBot="1" x14ac:dyDescent="0.3">
      <c r="A35" s="2" t="s">
        <v>24</v>
      </c>
      <c r="B35">
        <v>2.4599999999999999E-3</v>
      </c>
      <c r="N35" s="4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 spans="1:41" ht="15.75" thickBot="1" x14ac:dyDescent="0.3">
      <c r="A36" s="2" t="s">
        <v>25</v>
      </c>
      <c r="B36">
        <v>2.2400000000000002E-3</v>
      </c>
      <c r="N36" s="4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 spans="1:41" ht="15.75" thickBot="1" x14ac:dyDescent="0.3">
      <c r="A37" s="2" t="s">
        <v>26</v>
      </c>
      <c r="B37">
        <v>1.98E-3</v>
      </c>
      <c r="N37" s="4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 spans="1:41" ht="15.75" thickBot="1" x14ac:dyDescent="0.3">
      <c r="A38" s="2" t="s">
        <v>27</v>
      </c>
      <c r="B38">
        <v>1.81E-3</v>
      </c>
      <c r="N38" s="4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</row>
    <row r="39" spans="1:41" ht="15.75" thickBot="1" x14ac:dyDescent="0.3">
      <c r="A39" s="2" t="s">
        <v>28</v>
      </c>
      <c r="B39">
        <v>1.6800000000000001E-3</v>
      </c>
      <c r="N39" s="4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</row>
    <row r="40" spans="1:41" ht="15.75" thickBot="1" x14ac:dyDescent="0.3">
      <c r="A40" s="2" t="s">
        <v>29</v>
      </c>
      <c r="B40">
        <v>1.6100000000000001E-3</v>
      </c>
      <c r="N40" s="4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</row>
    <row r="41" spans="1:41" ht="15.75" thickBot="1" x14ac:dyDescent="0.3">
      <c r="A41" s="2" t="s">
        <v>44</v>
      </c>
      <c r="B41">
        <v>2.5530000000000001E-2</v>
      </c>
      <c r="N41" s="4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</row>
    <row r="42" spans="1:41" x14ac:dyDescent="0.25">
      <c r="N42" s="4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</row>
    <row r="44" spans="1:41" x14ac:dyDescent="0.25">
      <c r="T44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3B310-31B7-4ECE-AB3D-AB347F03DFFC}">
  <dimension ref="A1:G22"/>
  <sheetViews>
    <sheetView workbookViewId="0">
      <selection sqref="A1:G22"/>
    </sheetView>
  </sheetViews>
  <sheetFormatPr defaultRowHeight="15" x14ac:dyDescent="0.25"/>
  <sheetData>
    <row r="1" spans="1:7" ht="78.75" customHeight="1" thickBot="1" x14ac:dyDescent="0.3">
      <c r="A1" s="19" t="s">
        <v>46</v>
      </c>
      <c r="B1" s="21" t="s">
        <v>47</v>
      </c>
      <c r="C1" s="22"/>
      <c r="D1" s="23" t="s">
        <v>48</v>
      </c>
      <c r="E1" s="25" t="s">
        <v>49</v>
      </c>
      <c r="F1" s="25" t="s">
        <v>50</v>
      </c>
      <c r="G1" s="25" t="s">
        <v>51</v>
      </c>
    </row>
    <row r="2" spans="1:7" ht="19.5" thickBot="1" x14ac:dyDescent="0.3">
      <c r="A2" s="20"/>
      <c r="B2" s="8" t="s">
        <v>52</v>
      </c>
      <c r="C2" s="8" t="s">
        <v>53</v>
      </c>
      <c r="D2" s="24"/>
      <c r="E2" s="26"/>
      <c r="F2" s="26"/>
      <c r="G2" s="26"/>
    </row>
    <row r="3" spans="1:7" ht="16.5" thickBot="1" x14ac:dyDescent="0.3">
      <c r="A3" s="9" t="s">
        <v>54</v>
      </c>
      <c r="B3" s="10" t="s">
        <v>55</v>
      </c>
      <c r="C3" s="10" t="s">
        <v>56</v>
      </c>
      <c r="D3" s="10" t="s">
        <v>57</v>
      </c>
      <c r="E3" s="10" t="s">
        <v>58</v>
      </c>
      <c r="F3" s="10" t="s">
        <v>59</v>
      </c>
      <c r="G3" s="10" t="s">
        <v>60</v>
      </c>
    </row>
    <row r="4" spans="1:7" ht="16.5" thickBot="1" x14ac:dyDescent="0.3">
      <c r="A4" s="9" t="s">
        <v>61</v>
      </c>
      <c r="B4" s="10" t="s">
        <v>62</v>
      </c>
      <c r="C4" s="10" t="s">
        <v>63</v>
      </c>
      <c r="D4" s="10" t="s">
        <v>64</v>
      </c>
      <c r="E4" s="10" t="s">
        <v>65</v>
      </c>
      <c r="F4" s="10" t="s">
        <v>66</v>
      </c>
      <c r="G4" s="10" t="s">
        <v>67</v>
      </c>
    </row>
    <row r="5" spans="1:7" ht="16.5" thickBot="1" x14ac:dyDescent="0.3">
      <c r="A5" s="9" t="s">
        <v>68</v>
      </c>
      <c r="B5" s="10" t="s">
        <v>69</v>
      </c>
      <c r="C5" s="10" t="s">
        <v>70</v>
      </c>
      <c r="D5" s="10" t="s">
        <v>71</v>
      </c>
      <c r="E5" s="10" t="s">
        <v>72</v>
      </c>
      <c r="F5" s="10" t="s">
        <v>73</v>
      </c>
      <c r="G5" s="10" t="s">
        <v>74</v>
      </c>
    </row>
    <row r="6" spans="1:7" ht="16.5" thickBot="1" x14ac:dyDescent="0.3">
      <c r="A6" s="9" t="s">
        <v>75</v>
      </c>
      <c r="B6" s="10" t="s">
        <v>76</v>
      </c>
      <c r="C6" s="10" t="s">
        <v>77</v>
      </c>
      <c r="D6" s="10" t="s">
        <v>78</v>
      </c>
      <c r="E6" s="10" t="s">
        <v>79</v>
      </c>
      <c r="F6" s="10" t="s">
        <v>80</v>
      </c>
      <c r="G6" s="10" t="s">
        <v>81</v>
      </c>
    </row>
    <row r="7" spans="1:7" ht="16.5" thickBot="1" x14ac:dyDescent="0.3">
      <c r="A7" s="9" t="s">
        <v>82</v>
      </c>
      <c r="B7" s="10" t="s">
        <v>83</v>
      </c>
      <c r="C7" s="10" t="s">
        <v>84</v>
      </c>
      <c r="D7" s="10" t="s">
        <v>85</v>
      </c>
      <c r="E7" s="10" t="s">
        <v>86</v>
      </c>
      <c r="F7" s="10" t="s">
        <v>87</v>
      </c>
      <c r="G7" s="10" t="s">
        <v>88</v>
      </c>
    </row>
    <row r="8" spans="1:7" ht="16.5" thickBot="1" x14ac:dyDescent="0.3">
      <c r="A8" s="9" t="s">
        <v>89</v>
      </c>
      <c r="B8" s="10" t="s">
        <v>90</v>
      </c>
      <c r="C8" s="10" t="s">
        <v>91</v>
      </c>
      <c r="D8" s="10" t="s">
        <v>92</v>
      </c>
      <c r="E8" s="10" t="s">
        <v>93</v>
      </c>
      <c r="F8" s="10" t="s">
        <v>94</v>
      </c>
      <c r="G8" s="10" t="s">
        <v>95</v>
      </c>
    </row>
    <row r="9" spans="1:7" ht="16.5" thickBot="1" x14ac:dyDescent="0.3">
      <c r="A9" s="9" t="s">
        <v>96</v>
      </c>
      <c r="B9" s="10" t="s">
        <v>97</v>
      </c>
      <c r="C9" s="10" t="s">
        <v>98</v>
      </c>
      <c r="D9" s="10" t="s">
        <v>99</v>
      </c>
      <c r="E9" s="10" t="s">
        <v>100</v>
      </c>
      <c r="F9" s="10" t="s">
        <v>101</v>
      </c>
      <c r="G9" s="10" t="s">
        <v>102</v>
      </c>
    </row>
    <row r="10" spans="1:7" ht="16.5" thickBot="1" x14ac:dyDescent="0.3">
      <c r="A10" s="11" t="s">
        <v>103</v>
      </c>
      <c r="B10" s="12" t="s">
        <v>104</v>
      </c>
      <c r="C10" s="12" t="s">
        <v>105</v>
      </c>
      <c r="D10" s="12" t="s">
        <v>106</v>
      </c>
      <c r="E10" s="12" t="s">
        <v>107</v>
      </c>
      <c r="F10" s="12" t="s">
        <v>108</v>
      </c>
      <c r="G10" s="12" t="s">
        <v>109</v>
      </c>
    </row>
    <row r="11" spans="1:7" ht="16.5" thickBot="1" x14ac:dyDescent="0.3">
      <c r="A11" s="9" t="s">
        <v>110</v>
      </c>
      <c r="B11" s="10" t="s">
        <v>111</v>
      </c>
      <c r="C11" s="10" t="s">
        <v>112</v>
      </c>
      <c r="D11" s="10" t="s">
        <v>113</v>
      </c>
      <c r="E11" s="10" t="s">
        <v>114</v>
      </c>
      <c r="F11" s="10" t="s">
        <v>115</v>
      </c>
      <c r="G11" s="10" t="s">
        <v>116</v>
      </c>
    </row>
    <row r="12" spans="1:7" ht="16.5" thickBot="1" x14ac:dyDescent="0.3">
      <c r="A12" s="9" t="s">
        <v>117</v>
      </c>
      <c r="B12" s="10" t="s">
        <v>118</v>
      </c>
      <c r="C12" s="10" t="s">
        <v>119</v>
      </c>
      <c r="D12" s="10" t="s">
        <v>120</v>
      </c>
      <c r="E12" s="10" t="s">
        <v>121</v>
      </c>
      <c r="F12" s="10" t="s">
        <v>122</v>
      </c>
      <c r="G12" s="10" t="s">
        <v>123</v>
      </c>
    </row>
    <row r="13" spans="1:7" ht="16.5" thickBot="1" x14ac:dyDescent="0.3">
      <c r="A13" s="9" t="s">
        <v>124</v>
      </c>
      <c r="B13" s="10" t="s">
        <v>125</v>
      </c>
      <c r="C13" s="10" t="s">
        <v>126</v>
      </c>
      <c r="D13" s="10" t="s">
        <v>127</v>
      </c>
      <c r="E13" s="10" t="s">
        <v>128</v>
      </c>
      <c r="F13" s="10" t="s">
        <v>129</v>
      </c>
      <c r="G13" s="10" t="s">
        <v>130</v>
      </c>
    </row>
    <row r="14" spans="1:7" ht="16.5" thickBot="1" x14ac:dyDescent="0.3">
      <c r="A14" s="9" t="s">
        <v>131</v>
      </c>
      <c r="B14" s="10" t="s">
        <v>132</v>
      </c>
      <c r="C14" s="10" t="s">
        <v>133</v>
      </c>
      <c r="D14" s="10" t="s">
        <v>134</v>
      </c>
      <c r="E14" s="10" t="s">
        <v>135</v>
      </c>
      <c r="F14" s="10" t="s">
        <v>136</v>
      </c>
      <c r="G14" s="10" t="s">
        <v>137</v>
      </c>
    </row>
    <row r="15" spans="1:7" ht="16.5" thickBot="1" x14ac:dyDescent="0.3">
      <c r="A15" s="11" t="s">
        <v>138</v>
      </c>
      <c r="B15" s="12" t="s">
        <v>139</v>
      </c>
      <c r="C15" s="12" t="s">
        <v>55</v>
      </c>
      <c r="D15" s="12" t="s">
        <v>140</v>
      </c>
      <c r="E15" s="12" t="s">
        <v>141</v>
      </c>
      <c r="F15" s="12" t="s">
        <v>142</v>
      </c>
      <c r="G15" s="12" t="s">
        <v>60</v>
      </c>
    </row>
    <row r="16" spans="1:7" ht="16.5" thickBot="1" x14ac:dyDescent="0.3">
      <c r="A16" s="9" t="s">
        <v>143</v>
      </c>
      <c r="B16" s="10" t="s">
        <v>144</v>
      </c>
      <c r="C16" s="10" t="s">
        <v>145</v>
      </c>
      <c r="D16" s="10" t="s">
        <v>60</v>
      </c>
      <c r="E16" s="10" t="s">
        <v>60</v>
      </c>
      <c r="F16" s="10" t="s">
        <v>60</v>
      </c>
      <c r="G16" s="12" t="s">
        <v>60</v>
      </c>
    </row>
    <row r="17" spans="1:7" ht="16.5" thickBot="1" x14ac:dyDescent="0.3">
      <c r="A17" s="9" t="s">
        <v>146</v>
      </c>
      <c r="B17" s="10" t="s">
        <v>147</v>
      </c>
      <c r="C17" s="10" t="s">
        <v>148</v>
      </c>
      <c r="D17" s="10" t="s">
        <v>60</v>
      </c>
      <c r="E17" s="10" t="s">
        <v>60</v>
      </c>
      <c r="F17" s="10" t="s">
        <v>60</v>
      </c>
      <c r="G17" s="12" t="s">
        <v>60</v>
      </c>
    </row>
    <row r="18" spans="1:7" ht="16.5" thickBot="1" x14ac:dyDescent="0.3">
      <c r="A18" s="9" t="s">
        <v>149</v>
      </c>
      <c r="B18" s="10" t="s">
        <v>150</v>
      </c>
      <c r="C18" s="10" t="s">
        <v>151</v>
      </c>
      <c r="D18" s="10" t="s">
        <v>60</v>
      </c>
      <c r="E18" s="10" t="s">
        <v>60</v>
      </c>
      <c r="F18" s="10" t="s">
        <v>60</v>
      </c>
      <c r="G18" s="12" t="s">
        <v>60</v>
      </c>
    </row>
    <row r="19" spans="1:7" ht="16.5" thickBot="1" x14ac:dyDescent="0.3">
      <c r="A19" s="9" t="s">
        <v>152</v>
      </c>
      <c r="B19" s="10" t="s">
        <v>153</v>
      </c>
      <c r="C19" s="10" t="s">
        <v>154</v>
      </c>
      <c r="D19" s="10" t="s">
        <v>60</v>
      </c>
      <c r="E19" s="10" t="s">
        <v>60</v>
      </c>
      <c r="F19" s="10" t="s">
        <v>60</v>
      </c>
      <c r="G19" s="12" t="s">
        <v>60</v>
      </c>
    </row>
    <row r="20" spans="1:7" ht="16.5" thickBot="1" x14ac:dyDescent="0.3">
      <c r="A20" s="9" t="s">
        <v>155</v>
      </c>
      <c r="B20" s="10" t="s">
        <v>156</v>
      </c>
      <c r="C20" s="10" t="s">
        <v>157</v>
      </c>
      <c r="D20" s="10" t="s">
        <v>60</v>
      </c>
      <c r="E20" s="10" t="s">
        <v>60</v>
      </c>
      <c r="F20" s="10" t="s">
        <v>60</v>
      </c>
      <c r="G20" s="12" t="s">
        <v>60</v>
      </c>
    </row>
    <row r="21" spans="1:7" ht="16.5" thickBot="1" x14ac:dyDescent="0.3">
      <c r="A21" s="9" t="s">
        <v>158</v>
      </c>
      <c r="B21" s="10" t="s">
        <v>159</v>
      </c>
      <c r="C21" s="10" t="s">
        <v>160</v>
      </c>
      <c r="D21" s="10" t="s">
        <v>60</v>
      </c>
      <c r="E21" s="10" t="s">
        <v>60</v>
      </c>
      <c r="F21" s="10" t="s">
        <v>60</v>
      </c>
      <c r="G21" s="12" t="s">
        <v>60</v>
      </c>
    </row>
    <row r="22" spans="1:7" ht="16.5" thickBot="1" x14ac:dyDescent="0.3">
      <c r="A22" s="9" t="s">
        <v>161</v>
      </c>
      <c r="B22" s="10" t="s">
        <v>162</v>
      </c>
      <c r="C22" s="10" t="s">
        <v>163</v>
      </c>
      <c r="D22" s="10" t="s">
        <v>60</v>
      </c>
      <c r="E22" s="10" t="s">
        <v>60</v>
      </c>
      <c r="F22" s="10" t="s">
        <v>60</v>
      </c>
      <c r="G22" s="12" t="s">
        <v>60</v>
      </c>
    </row>
  </sheetData>
  <mergeCells count="6">
    <mergeCell ref="G1:G2"/>
    <mergeCell ref="A1:A2"/>
    <mergeCell ref="B1:C1"/>
    <mergeCell ref="D1:D2"/>
    <mergeCell ref="E1:E2"/>
    <mergeCell ref="F1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66BF3-4C97-4FE8-BCA1-80A18E3CD30D}">
  <dimension ref="A1:F23"/>
  <sheetViews>
    <sheetView workbookViewId="0">
      <selection activeCell="G10" sqref="G10"/>
    </sheetView>
  </sheetViews>
  <sheetFormatPr defaultRowHeight="15" x14ac:dyDescent="0.25"/>
  <cols>
    <col min="1" max="1" width="16.140625" customWidth="1"/>
    <col min="2" max="2" width="13" customWidth="1"/>
    <col min="3" max="3" width="13.5703125" customWidth="1"/>
    <col min="4" max="4" width="14.28515625" customWidth="1"/>
    <col min="5" max="5" width="15.7109375" customWidth="1"/>
    <col min="6" max="6" width="15.85546875" customWidth="1"/>
  </cols>
  <sheetData>
    <row r="1" spans="1:6" ht="78.75" customHeight="1" thickBot="1" x14ac:dyDescent="0.3">
      <c r="A1" s="19" t="s">
        <v>164</v>
      </c>
      <c r="B1" s="21" t="s">
        <v>47</v>
      </c>
      <c r="C1" s="22"/>
      <c r="D1" s="23" t="s">
        <v>48</v>
      </c>
      <c r="E1" s="25" t="s">
        <v>49</v>
      </c>
      <c r="F1" s="25" t="s">
        <v>51</v>
      </c>
    </row>
    <row r="2" spans="1:6" ht="19.5" thickBot="1" x14ac:dyDescent="0.3">
      <c r="A2" s="20"/>
      <c r="B2" s="8" t="s">
        <v>52</v>
      </c>
      <c r="C2" s="8" t="s">
        <v>53</v>
      </c>
      <c r="D2" s="24"/>
      <c r="E2" s="26"/>
      <c r="F2" s="26"/>
    </row>
    <row r="3" spans="1:6" ht="16.5" thickBot="1" x14ac:dyDescent="0.3">
      <c r="A3" s="9" t="s">
        <v>54</v>
      </c>
      <c r="B3" s="10" t="s">
        <v>55</v>
      </c>
      <c r="C3" s="10" t="s">
        <v>165</v>
      </c>
      <c r="D3" s="10" t="s">
        <v>166</v>
      </c>
      <c r="E3" s="10" t="s">
        <v>167</v>
      </c>
      <c r="F3" s="10" t="s">
        <v>60</v>
      </c>
    </row>
    <row r="4" spans="1:6" ht="16.5" thickBot="1" x14ac:dyDescent="0.3">
      <c r="A4" s="9" t="s">
        <v>61</v>
      </c>
      <c r="B4" s="10" t="s">
        <v>168</v>
      </c>
      <c r="C4" s="10" t="s">
        <v>169</v>
      </c>
      <c r="D4" s="10" t="s">
        <v>170</v>
      </c>
      <c r="E4" s="10" t="s">
        <v>171</v>
      </c>
      <c r="F4" s="10" t="s">
        <v>172</v>
      </c>
    </row>
    <row r="5" spans="1:6" ht="16.5" thickBot="1" x14ac:dyDescent="0.3">
      <c r="A5" s="9" t="s">
        <v>68</v>
      </c>
      <c r="B5" s="10" t="s">
        <v>173</v>
      </c>
      <c r="C5" s="10" t="s">
        <v>174</v>
      </c>
      <c r="D5" s="10" t="s">
        <v>175</v>
      </c>
      <c r="E5" s="10" t="s">
        <v>176</v>
      </c>
      <c r="F5" s="10" t="s">
        <v>177</v>
      </c>
    </row>
    <row r="6" spans="1:6" ht="16.5" thickBot="1" x14ac:dyDescent="0.3">
      <c r="A6" s="9" t="s">
        <v>75</v>
      </c>
      <c r="B6" s="10" t="s">
        <v>178</v>
      </c>
      <c r="C6" s="10" t="s">
        <v>179</v>
      </c>
      <c r="D6" s="10" t="s">
        <v>180</v>
      </c>
      <c r="E6" s="10" t="s">
        <v>181</v>
      </c>
      <c r="F6" s="10" t="s">
        <v>182</v>
      </c>
    </row>
    <row r="7" spans="1:6" ht="16.5" thickBot="1" x14ac:dyDescent="0.3">
      <c r="A7" s="9" t="s">
        <v>82</v>
      </c>
      <c r="B7" s="10" t="s">
        <v>183</v>
      </c>
      <c r="C7" s="10" t="s">
        <v>184</v>
      </c>
      <c r="D7" s="10" t="s">
        <v>185</v>
      </c>
      <c r="E7" s="10" t="s">
        <v>186</v>
      </c>
      <c r="F7" s="10" t="s">
        <v>187</v>
      </c>
    </row>
    <row r="8" spans="1:6" ht="16.5" thickBot="1" x14ac:dyDescent="0.3">
      <c r="A8" s="9" t="s">
        <v>89</v>
      </c>
      <c r="B8" s="10" t="s">
        <v>188</v>
      </c>
      <c r="C8" s="10" t="s">
        <v>189</v>
      </c>
      <c r="D8" s="10" t="s">
        <v>190</v>
      </c>
      <c r="E8" s="10" t="s">
        <v>191</v>
      </c>
      <c r="F8" s="10" t="s">
        <v>192</v>
      </c>
    </row>
    <row r="9" spans="1:6" ht="16.5" thickBot="1" x14ac:dyDescent="0.3">
      <c r="A9" s="9" t="s">
        <v>96</v>
      </c>
      <c r="B9" s="10" t="s">
        <v>193</v>
      </c>
      <c r="C9" s="10" t="s">
        <v>194</v>
      </c>
      <c r="D9" s="10" t="s">
        <v>195</v>
      </c>
      <c r="E9" s="10" t="s">
        <v>196</v>
      </c>
      <c r="F9" s="10" t="s">
        <v>197</v>
      </c>
    </row>
    <row r="10" spans="1:6" ht="16.5" thickBot="1" x14ac:dyDescent="0.3">
      <c r="A10" s="11" t="s">
        <v>103</v>
      </c>
      <c r="B10" s="12" t="s">
        <v>198</v>
      </c>
      <c r="C10" s="12" t="s">
        <v>199</v>
      </c>
      <c r="D10" s="12" t="s">
        <v>200</v>
      </c>
      <c r="E10" s="12" t="s">
        <v>201</v>
      </c>
      <c r="F10" s="12" t="s">
        <v>202</v>
      </c>
    </row>
    <row r="11" spans="1:6" ht="16.5" thickBot="1" x14ac:dyDescent="0.3">
      <c r="A11" s="9" t="s">
        <v>124</v>
      </c>
      <c r="B11" s="10" t="s">
        <v>203</v>
      </c>
      <c r="C11" s="10" t="s">
        <v>204</v>
      </c>
      <c r="D11" s="10" t="s">
        <v>205</v>
      </c>
      <c r="E11" s="10" t="s">
        <v>206</v>
      </c>
      <c r="F11" s="10" t="s">
        <v>207</v>
      </c>
    </row>
    <row r="12" spans="1:6" ht="16.5" thickBot="1" x14ac:dyDescent="0.3">
      <c r="A12" s="9" t="s">
        <v>149</v>
      </c>
      <c r="B12" s="10" t="s">
        <v>208</v>
      </c>
      <c r="C12" s="10" t="s">
        <v>119</v>
      </c>
      <c r="D12" s="10" t="s">
        <v>209</v>
      </c>
      <c r="E12" s="10" t="s">
        <v>210</v>
      </c>
      <c r="F12" s="10" t="s">
        <v>211</v>
      </c>
    </row>
    <row r="13" spans="1:6" ht="16.5" thickBot="1" x14ac:dyDescent="0.3">
      <c r="A13" s="9" t="s">
        <v>155</v>
      </c>
      <c r="B13" s="10" t="s">
        <v>212</v>
      </c>
      <c r="C13" s="10" t="s">
        <v>213</v>
      </c>
      <c r="D13" s="10" t="s">
        <v>214</v>
      </c>
      <c r="E13" s="10" t="s">
        <v>215</v>
      </c>
      <c r="F13" s="10" t="s">
        <v>216</v>
      </c>
    </row>
    <row r="14" spans="1:6" ht="16.5" thickBot="1" x14ac:dyDescent="0.3">
      <c r="A14" s="9" t="s">
        <v>158</v>
      </c>
      <c r="B14" s="10" t="s">
        <v>217</v>
      </c>
      <c r="C14" s="10" t="s">
        <v>218</v>
      </c>
      <c r="D14" s="10" t="s">
        <v>219</v>
      </c>
      <c r="E14" s="10" t="s">
        <v>220</v>
      </c>
      <c r="F14" s="10" t="s">
        <v>221</v>
      </c>
    </row>
    <row r="15" spans="1:6" ht="16.5" thickBot="1" x14ac:dyDescent="0.3">
      <c r="A15" s="11" t="s">
        <v>222</v>
      </c>
      <c r="B15" s="12" t="s">
        <v>223</v>
      </c>
      <c r="C15" s="12" t="s">
        <v>55</v>
      </c>
      <c r="D15" s="12" t="s">
        <v>224</v>
      </c>
      <c r="E15" s="12" t="s">
        <v>225</v>
      </c>
      <c r="F15" s="12" t="s">
        <v>60</v>
      </c>
    </row>
    <row r="16" spans="1:6" ht="16.5" thickBot="1" x14ac:dyDescent="0.3">
      <c r="A16" s="9" t="s">
        <v>161</v>
      </c>
      <c r="B16" s="10" t="s">
        <v>226</v>
      </c>
      <c r="C16" s="10" t="s">
        <v>227</v>
      </c>
      <c r="D16" s="10" t="s">
        <v>60</v>
      </c>
      <c r="E16" s="10" t="s">
        <v>60</v>
      </c>
      <c r="F16" s="10" t="s">
        <v>60</v>
      </c>
    </row>
    <row r="17" spans="1:6" ht="16.5" thickBot="1" x14ac:dyDescent="0.3">
      <c r="A17" s="9" t="s">
        <v>228</v>
      </c>
      <c r="B17" s="10" t="s">
        <v>229</v>
      </c>
      <c r="C17" s="10" t="s">
        <v>230</v>
      </c>
      <c r="D17" s="10" t="s">
        <v>60</v>
      </c>
      <c r="E17" s="10" t="s">
        <v>60</v>
      </c>
      <c r="F17" s="10" t="s">
        <v>60</v>
      </c>
    </row>
    <row r="18" spans="1:6" ht="16.5" thickBot="1" x14ac:dyDescent="0.3">
      <c r="A18" s="9" t="s">
        <v>231</v>
      </c>
      <c r="B18" s="10" t="s">
        <v>232</v>
      </c>
      <c r="C18" s="10" t="s">
        <v>233</v>
      </c>
      <c r="D18" s="10" t="s">
        <v>60</v>
      </c>
      <c r="E18" s="10" t="s">
        <v>60</v>
      </c>
      <c r="F18" s="10" t="s">
        <v>60</v>
      </c>
    </row>
    <row r="19" spans="1:6" ht="16.5" thickBot="1" x14ac:dyDescent="0.3">
      <c r="A19" s="9" t="s">
        <v>234</v>
      </c>
      <c r="B19" s="10" t="s">
        <v>235</v>
      </c>
      <c r="C19" s="10" t="s">
        <v>236</v>
      </c>
      <c r="D19" s="10" t="s">
        <v>60</v>
      </c>
      <c r="E19" s="10" t="s">
        <v>60</v>
      </c>
      <c r="F19" s="10" t="s">
        <v>60</v>
      </c>
    </row>
    <row r="20" spans="1:6" ht="16.5" thickBot="1" x14ac:dyDescent="0.3">
      <c r="A20" s="9" t="s">
        <v>237</v>
      </c>
      <c r="B20" s="10" t="s">
        <v>238</v>
      </c>
      <c r="C20" s="10" t="s">
        <v>239</v>
      </c>
      <c r="D20" s="10" t="s">
        <v>60</v>
      </c>
      <c r="E20" s="10" t="s">
        <v>60</v>
      </c>
      <c r="F20" s="10" t="s">
        <v>60</v>
      </c>
    </row>
    <row r="21" spans="1:6" ht="16.5" thickBot="1" x14ac:dyDescent="0.3">
      <c r="A21" s="9" t="s">
        <v>240</v>
      </c>
      <c r="B21" s="10" t="s">
        <v>241</v>
      </c>
      <c r="C21" s="10" t="s">
        <v>242</v>
      </c>
      <c r="D21" s="10" t="s">
        <v>60</v>
      </c>
      <c r="E21" s="10" t="s">
        <v>60</v>
      </c>
      <c r="F21" s="10" t="s">
        <v>60</v>
      </c>
    </row>
    <row r="22" spans="1:6" ht="16.5" thickBot="1" x14ac:dyDescent="0.3">
      <c r="A22" s="9" t="s">
        <v>243</v>
      </c>
      <c r="B22" s="10" t="s">
        <v>244</v>
      </c>
      <c r="C22" s="10" t="s">
        <v>156</v>
      </c>
      <c r="D22" s="10" t="s">
        <v>60</v>
      </c>
      <c r="E22" s="10" t="s">
        <v>60</v>
      </c>
      <c r="F22" s="10" t="s">
        <v>60</v>
      </c>
    </row>
    <row r="23" spans="1:6" ht="16.5" thickBot="1" x14ac:dyDescent="0.3">
      <c r="A23" s="9" t="s">
        <v>245</v>
      </c>
      <c r="B23" s="10" t="s">
        <v>246</v>
      </c>
      <c r="C23" s="10" t="s">
        <v>247</v>
      </c>
      <c r="D23" s="10" t="s">
        <v>60</v>
      </c>
      <c r="E23" s="10" t="s">
        <v>60</v>
      </c>
      <c r="F23" s="10" t="s">
        <v>60</v>
      </c>
    </row>
  </sheetData>
  <mergeCells count="5">
    <mergeCell ref="A1:A2"/>
    <mergeCell ref="B1:C1"/>
    <mergeCell ref="D1:D2"/>
    <mergeCell ref="E1:E2"/>
    <mergeCell ref="F1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92993-8576-4220-A405-C400C8AA497E}">
  <dimension ref="A1:F24"/>
  <sheetViews>
    <sheetView workbookViewId="0">
      <selection sqref="A1:F24"/>
    </sheetView>
  </sheetViews>
  <sheetFormatPr defaultRowHeight="15" x14ac:dyDescent="0.25"/>
  <sheetData>
    <row r="1" spans="1:6" ht="81" customHeight="1" thickBot="1" x14ac:dyDescent="0.3">
      <c r="A1" s="19" t="s">
        <v>248</v>
      </c>
      <c r="B1" s="21" t="s">
        <v>47</v>
      </c>
      <c r="C1" s="22"/>
      <c r="D1" s="23" t="s">
        <v>48</v>
      </c>
      <c r="E1" s="25" t="s">
        <v>49</v>
      </c>
      <c r="F1" s="25" t="s">
        <v>249</v>
      </c>
    </row>
    <row r="2" spans="1:6" ht="19.5" thickBot="1" x14ac:dyDescent="0.3">
      <c r="A2" s="20"/>
      <c r="B2" s="8" t="s">
        <v>52</v>
      </c>
      <c r="C2" s="8" t="s">
        <v>53</v>
      </c>
      <c r="D2" s="24"/>
      <c r="E2" s="26"/>
      <c r="F2" s="26"/>
    </row>
    <row r="3" spans="1:6" ht="16.5" thickBot="1" x14ac:dyDescent="0.3">
      <c r="A3" s="9" t="s">
        <v>54</v>
      </c>
      <c r="B3" s="10" t="s">
        <v>55</v>
      </c>
      <c r="C3" s="10" t="s">
        <v>169</v>
      </c>
      <c r="D3" s="10" t="s">
        <v>250</v>
      </c>
      <c r="E3" s="10" t="s">
        <v>251</v>
      </c>
      <c r="F3" s="10" t="s">
        <v>60</v>
      </c>
    </row>
    <row r="4" spans="1:6" ht="16.5" thickBot="1" x14ac:dyDescent="0.3">
      <c r="A4" s="9" t="s">
        <v>61</v>
      </c>
      <c r="B4" s="10" t="s">
        <v>252</v>
      </c>
      <c r="C4" s="10" t="s">
        <v>253</v>
      </c>
      <c r="D4" s="10" t="s">
        <v>254</v>
      </c>
      <c r="E4" s="10" t="s">
        <v>255</v>
      </c>
      <c r="F4" s="10" t="s">
        <v>256</v>
      </c>
    </row>
    <row r="5" spans="1:6" ht="16.5" thickBot="1" x14ac:dyDescent="0.3">
      <c r="A5" s="9" t="s">
        <v>257</v>
      </c>
      <c r="B5" s="10" t="s">
        <v>258</v>
      </c>
      <c r="C5" s="10" t="s">
        <v>259</v>
      </c>
      <c r="D5" s="10" t="s">
        <v>260</v>
      </c>
      <c r="E5" s="10" t="s">
        <v>261</v>
      </c>
      <c r="F5" s="10" t="s">
        <v>262</v>
      </c>
    </row>
    <row r="6" spans="1:6" ht="16.5" thickBot="1" x14ac:dyDescent="0.3">
      <c r="A6" s="9" t="s">
        <v>75</v>
      </c>
      <c r="B6" s="10" t="s">
        <v>263</v>
      </c>
      <c r="C6" s="10" t="s">
        <v>264</v>
      </c>
      <c r="D6" s="10" t="s">
        <v>265</v>
      </c>
      <c r="E6" s="10" t="s">
        <v>266</v>
      </c>
      <c r="F6" s="10" t="s">
        <v>267</v>
      </c>
    </row>
    <row r="7" spans="1:6" ht="16.5" thickBot="1" x14ac:dyDescent="0.3">
      <c r="A7" s="9" t="s">
        <v>82</v>
      </c>
      <c r="B7" s="10" t="s">
        <v>268</v>
      </c>
      <c r="C7" s="10" t="s">
        <v>269</v>
      </c>
      <c r="D7" s="10" t="s">
        <v>270</v>
      </c>
      <c r="E7" s="10" t="s">
        <v>271</v>
      </c>
      <c r="F7" s="10" t="s">
        <v>272</v>
      </c>
    </row>
    <row r="8" spans="1:6" ht="16.5" thickBot="1" x14ac:dyDescent="0.3">
      <c r="A8" s="9" t="s">
        <v>89</v>
      </c>
      <c r="B8" s="10" t="s">
        <v>273</v>
      </c>
      <c r="C8" s="10" t="s">
        <v>274</v>
      </c>
      <c r="D8" s="10" t="s">
        <v>275</v>
      </c>
      <c r="E8" s="10" t="s">
        <v>276</v>
      </c>
      <c r="F8" s="10" t="s">
        <v>277</v>
      </c>
    </row>
    <row r="9" spans="1:6" ht="16.5" thickBot="1" x14ac:dyDescent="0.3">
      <c r="A9" s="9" t="s">
        <v>96</v>
      </c>
      <c r="B9" s="10" t="s">
        <v>278</v>
      </c>
      <c r="C9" s="10" t="s">
        <v>279</v>
      </c>
      <c r="D9" s="10" t="s">
        <v>280</v>
      </c>
      <c r="E9" s="10" t="s">
        <v>281</v>
      </c>
      <c r="F9" s="10" t="s">
        <v>282</v>
      </c>
    </row>
    <row r="10" spans="1:6" ht="16.5" thickBot="1" x14ac:dyDescent="0.3">
      <c r="A10" s="11" t="s">
        <v>103</v>
      </c>
      <c r="B10" s="12" t="s">
        <v>283</v>
      </c>
      <c r="C10" s="12" t="s">
        <v>284</v>
      </c>
      <c r="D10" s="12" t="s">
        <v>285</v>
      </c>
      <c r="E10" s="12" t="s">
        <v>286</v>
      </c>
      <c r="F10" s="12" t="s">
        <v>287</v>
      </c>
    </row>
    <row r="11" spans="1:6" ht="16.5" thickBot="1" x14ac:dyDescent="0.3">
      <c r="A11" s="9" t="s">
        <v>288</v>
      </c>
      <c r="B11" s="10" t="s">
        <v>289</v>
      </c>
      <c r="C11" s="10" t="s">
        <v>290</v>
      </c>
      <c r="D11" s="10" t="s">
        <v>291</v>
      </c>
      <c r="E11" s="10" t="s">
        <v>292</v>
      </c>
      <c r="F11" s="10" t="s">
        <v>293</v>
      </c>
    </row>
    <row r="12" spans="1:6" ht="16.5" thickBot="1" x14ac:dyDescent="0.3">
      <c r="A12" s="9" t="s">
        <v>155</v>
      </c>
      <c r="B12" s="10" t="s">
        <v>294</v>
      </c>
      <c r="C12" s="10" t="s">
        <v>295</v>
      </c>
      <c r="D12" s="10" t="s">
        <v>296</v>
      </c>
      <c r="E12" s="10" t="s">
        <v>297</v>
      </c>
      <c r="F12" s="10" t="s">
        <v>298</v>
      </c>
    </row>
    <row r="13" spans="1:6" ht="16.5" thickBot="1" x14ac:dyDescent="0.3">
      <c r="A13" s="9" t="s">
        <v>161</v>
      </c>
      <c r="B13" s="10" t="s">
        <v>299</v>
      </c>
      <c r="C13" s="10" t="s">
        <v>300</v>
      </c>
      <c r="D13" s="10" t="s">
        <v>301</v>
      </c>
      <c r="E13" s="10" t="s">
        <v>302</v>
      </c>
      <c r="F13" s="10" t="s">
        <v>303</v>
      </c>
    </row>
    <row r="14" spans="1:6" ht="16.5" thickBot="1" x14ac:dyDescent="0.3">
      <c r="A14" s="9" t="s">
        <v>231</v>
      </c>
      <c r="B14" s="10" t="s">
        <v>304</v>
      </c>
      <c r="C14" s="10" t="s">
        <v>305</v>
      </c>
      <c r="D14" s="10" t="s">
        <v>306</v>
      </c>
      <c r="E14" s="10" t="s">
        <v>307</v>
      </c>
      <c r="F14" s="10" t="s">
        <v>308</v>
      </c>
    </row>
    <row r="15" spans="1:6" ht="16.5" thickBot="1" x14ac:dyDescent="0.3">
      <c r="A15" s="9" t="s">
        <v>237</v>
      </c>
      <c r="B15" s="10" t="s">
        <v>309</v>
      </c>
      <c r="C15" s="10" t="s">
        <v>310</v>
      </c>
      <c r="D15" s="10" t="s">
        <v>311</v>
      </c>
      <c r="E15" s="10" t="s">
        <v>312</v>
      </c>
      <c r="F15" s="10" t="s">
        <v>313</v>
      </c>
    </row>
    <row r="16" spans="1:6" ht="16.5" thickBot="1" x14ac:dyDescent="0.3">
      <c r="A16" s="9" t="s">
        <v>243</v>
      </c>
      <c r="B16" s="10" t="s">
        <v>314</v>
      </c>
      <c r="C16" s="10" t="s">
        <v>55</v>
      </c>
      <c r="D16" s="10" t="s">
        <v>315</v>
      </c>
      <c r="E16" s="10" t="s">
        <v>316</v>
      </c>
      <c r="F16" s="10" t="s">
        <v>317</v>
      </c>
    </row>
    <row r="17" spans="1:6" ht="16.5" thickBot="1" x14ac:dyDescent="0.3">
      <c r="A17" s="11" t="s">
        <v>318</v>
      </c>
      <c r="B17" s="12" t="s">
        <v>314</v>
      </c>
      <c r="C17" s="12" t="s">
        <v>55</v>
      </c>
      <c r="D17" s="12" t="s">
        <v>319</v>
      </c>
      <c r="E17" s="12" t="s">
        <v>320</v>
      </c>
      <c r="F17" s="12" t="s">
        <v>60</v>
      </c>
    </row>
    <row r="18" spans="1:6" ht="16.5" thickBot="1" x14ac:dyDescent="0.3">
      <c r="A18" s="9" t="s">
        <v>245</v>
      </c>
      <c r="B18" s="10" t="s">
        <v>321</v>
      </c>
      <c r="C18" s="10" t="s">
        <v>322</v>
      </c>
      <c r="D18" s="10" t="s">
        <v>60</v>
      </c>
      <c r="E18" s="10" t="s">
        <v>60</v>
      </c>
      <c r="F18" s="12" t="s">
        <v>60</v>
      </c>
    </row>
    <row r="19" spans="1:6" ht="16.5" thickBot="1" x14ac:dyDescent="0.3">
      <c r="A19" s="9" t="s">
        <v>323</v>
      </c>
      <c r="B19" s="10" t="s">
        <v>324</v>
      </c>
      <c r="C19" s="10" t="s">
        <v>325</v>
      </c>
      <c r="D19" s="10" t="s">
        <v>60</v>
      </c>
      <c r="E19" s="10" t="s">
        <v>60</v>
      </c>
      <c r="F19" s="12" t="s">
        <v>60</v>
      </c>
    </row>
    <row r="20" spans="1:6" ht="16.5" thickBot="1" x14ac:dyDescent="0.3">
      <c r="A20" s="9" t="s">
        <v>326</v>
      </c>
      <c r="B20" s="10" t="s">
        <v>327</v>
      </c>
      <c r="C20" s="10" t="s">
        <v>132</v>
      </c>
      <c r="D20" s="10" t="s">
        <v>60</v>
      </c>
      <c r="E20" s="10" t="s">
        <v>60</v>
      </c>
      <c r="F20" s="12" t="s">
        <v>60</v>
      </c>
    </row>
    <row r="21" spans="1:6" ht="16.5" thickBot="1" x14ac:dyDescent="0.3">
      <c r="A21" s="9" t="s">
        <v>328</v>
      </c>
      <c r="B21" s="10" t="s">
        <v>329</v>
      </c>
      <c r="C21" s="10" t="s">
        <v>330</v>
      </c>
      <c r="D21" s="10" t="s">
        <v>60</v>
      </c>
      <c r="E21" s="10" t="s">
        <v>60</v>
      </c>
      <c r="F21" s="12" t="s">
        <v>60</v>
      </c>
    </row>
    <row r="22" spans="1:6" ht="16.5" thickBot="1" x14ac:dyDescent="0.3">
      <c r="A22" s="9" t="s">
        <v>331</v>
      </c>
      <c r="B22" s="10" t="s">
        <v>332</v>
      </c>
      <c r="C22" s="10" t="s">
        <v>333</v>
      </c>
      <c r="D22" s="10" t="s">
        <v>60</v>
      </c>
      <c r="E22" s="10" t="s">
        <v>60</v>
      </c>
      <c r="F22" s="12" t="s">
        <v>60</v>
      </c>
    </row>
    <row r="23" spans="1:6" ht="16.5" thickBot="1" x14ac:dyDescent="0.3">
      <c r="A23" s="9" t="s">
        <v>334</v>
      </c>
      <c r="B23" s="10" t="s">
        <v>335</v>
      </c>
      <c r="C23" s="10" t="s">
        <v>336</v>
      </c>
      <c r="D23" s="10" t="s">
        <v>60</v>
      </c>
      <c r="E23" s="10" t="s">
        <v>60</v>
      </c>
      <c r="F23" s="12" t="s">
        <v>60</v>
      </c>
    </row>
    <row r="24" spans="1:6" ht="16.5" thickBot="1" x14ac:dyDescent="0.3">
      <c r="A24" s="9" t="s">
        <v>337</v>
      </c>
      <c r="B24" s="10" t="s">
        <v>338</v>
      </c>
      <c r="C24" s="10" t="s">
        <v>339</v>
      </c>
      <c r="D24" s="10" t="s">
        <v>60</v>
      </c>
      <c r="E24" s="10" t="s">
        <v>60</v>
      </c>
      <c r="F24" s="12" t="s">
        <v>60</v>
      </c>
    </row>
  </sheetData>
  <mergeCells count="5">
    <mergeCell ref="A1:A2"/>
    <mergeCell ref="B1:C1"/>
    <mergeCell ref="D1:D2"/>
    <mergeCell ref="E1:E2"/>
    <mergeCell ref="F1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B4A52-3928-4C88-B43C-6EC4A6EC0339}">
  <dimension ref="A1:H8"/>
  <sheetViews>
    <sheetView workbookViewId="0">
      <selection activeCell="I31" sqref="I31"/>
    </sheetView>
  </sheetViews>
  <sheetFormatPr defaultRowHeight="15" x14ac:dyDescent="0.25"/>
  <sheetData>
    <row r="1" spans="1:8" ht="34.5" customHeight="1" thickBot="1" x14ac:dyDescent="0.3">
      <c r="A1" s="27" t="s">
        <v>248</v>
      </c>
      <c r="B1" s="27" t="s">
        <v>340</v>
      </c>
      <c r="C1" s="29" t="s">
        <v>341</v>
      </c>
      <c r="D1" s="30"/>
      <c r="E1" s="31" t="s">
        <v>342</v>
      </c>
      <c r="F1" s="30"/>
      <c r="G1" s="32" t="s">
        <v>343</v>
      </c>
      <c r="H1" s="27" t="s">
        <v>344</v>
      </c>
    </row>
    <row r="2" spans="1:8" ht="48" thickBot="1" x14ac:dyDescent="0.3">
      <c r="A2" s="28"/>
      <c r="B2" s="28"/>
      <c r="C2" s="13" t="s">
        <v>345</v>
      </c>
      <c r="D2" s="13" t="s">
        <v>346</v>
      </c>
      <c r="E2" s="13" t="s">
        <v>345</v>
      </c>
      <c r="F2" s="13" t="s">
        <v>346</v>
      </c>
      <c r="G2" s="33"/>
      <c r="H2" s="28"/>
    </row>
    <row r="3" spans="1:8" ht="16.5" thickBot="1" x14ac:dyDescent="0.3">
      <c r="A3" s="10" t="s">
        <v>54</v>
      </c>
      <c r="B3" s="10" t="s">
        <v>347</v>
      </c>
      <c r="C3" s="10" t="s">
        <v>60</v>
      </c>
      <c r="D3" s="10" t="s">
        <v>348</v>
      </c>
      <c r="E3" s="10" t="s">
        <v>60</v>
      </c>
      <c r="F3" s="10" t="s">
        <v>349</v>
      </c>
      <c r="G3" s="10" t="s">
        <v>350</v>
      </c>
      <c r="H3" s="10" t="s">
        <v>57</v>
      </c>
    </row>
    <row r="4" spans="1:8" ht="16.5" thickBot="1" x14ac:dyDescent="0.3">
      <c r="A4" s="10" t="s">
        <v>351</v>
      </c>
      <c r="B4" s="10" t="s">
        <v>347</v>
      </c>
      <c r="C4" s="10" t="s">
        <v>60</v>
      </c>
      <c r="D4" s="10" t="s">
        <v>348</v>
      </c>
      <c r="E4" s="10" t="s">
        <v>60</v>
      </c>
      <c r="F4" s="10" t="s">
        <v>349</v>
      </c>
      <c r="G4" s="10" t="s">
        <v>352</v>
      </c>
      <c r="H4" s="10" t="s">
        <v>140</v>
      </c>
    </row>
    <row r="5" spans="1:8" ht="16.5" thickBot="1" x14ac:dyDescent="0.3">
      <c r="A5" s="10" t="s">
        <v>353</v>
      </c>
      <c r="B5" s="10" t="s">
        <v>354</v>
      </c>
      <c r="C5" s="10" t="s">
        <v>355</v>
      </c>
      <c r="D5" s="10" t="s">
        <v>356</v>
      </c>
      <c r="E5" s="10" t="s">
        <v>357</v>
      </c>
      <c r="F5" s="10" t="s">
        <v>358</v>
      </c>
      <c r="G5" s="10" t="s">
        <v>359</v>
      </c>
      <c r="H5" s="10" t="s">
        <v>360</v>
      </c>
    </row>
    <row r="6" spans="1:8" ht="16.5" thickBot="1" x14ac:dyDescent="0.3">
      <c r="A6" s="10" t="s">
        <v>361</v>
      </c>
      <c r="B6" s="10" t="s">
        <v>354</v>
      </c>
      <c r="C6" s="10" t="s">
        <v>362</v>
      </c>
      <c r="D6" s="10" t="s">
        <v>363</v>
      </c>
      <c r="E6" s="10" t="s">
        <v>364</v>
      </c>
      <c r="F6" s="10" t="s">
        <v>365</v>
      </c>
      <c r="G6" s="10" t="s">
        <v>366</v>
      </c>
      <c r="H6" s="10" t="s">
        <v>367</v>
      </c>
    </row>
    <row r="7" spans="1:8" ht="16.5" thickBot="1" x14ac:dyDescent="0.3">
      <c r="A7" s="10" t="s">
        <v>368</v>
      </c>
      <c r="B7" s="10" t="s">
        <v>369</v>
      </c>
      <c r="C7" s="10" t="s">
        <v>370</v>
      </c>
      <c r="D7" s="10" t="s">
        <v>368</v>
      </c>
      <c r="E7" s="10" t="s">
        <v>349</v>
      </c>
      <c r="F7" s="10" t="s">
        <v>368</v>
      </c>
      <c r="G7" s="10" t="s">
        <v>371</v>
      </c>
      <c r="H7" s="10" t="s">
        <v>372</v>
      </c>
    </row>
    <row r="8" spans="1:8" ht="16.5" thickBot="1" x14ac:dyDescent="0.3">
      <c r="A8" s="10" t="s">
        <v>368</v>
      </c>
      <c r="B8" s="10" t="s">
        <v>369</v>
      </c>
      <c r="C8" s="10" t="s">
        <v>348</v>
      </c>
      <c r="D8" s="10" t="s">
        <v>368</v>
      </c>
      <c r="E8" s="10" t="s">
        <v>349</v>
      </c>
      <c r="F8" s="10" t="s">
        <v>368</v>
      </c>
      <c r="G8" s="10" t="s">
        <v>371</v>
      </c>
      <c r="H8" s="10" t="s">
        <v>372</v>
      </c>
    </row>
  </sheetData>
  <mergeCells count="6">
    <mergeCell ref="H1:H2"/>
    <mergeCell ref="A1:A2"/>
    <mergeCell ref="B1:B2"/>
    <mergeCell ref="C1:D1"/>
    <mergeCell ref="E1:F1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init</vt:lpstr>
      <vt:lpstr>to_model</vt:lpstr>
      <vt:lpstr>CCE_110C</vt:lpstr>
      <vt:lpstr>CCE_60C</vt:lpstr>
      <vt:lpstr>CCE_20C</vt:lpstr>
      <vt:lpstr>SEPTEST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Сидоренко Даниил Д.</dc:creator>
  <cp:lastModifiedBy>user</cp:lastModifiedBy>
  <dcterms:created xsi:type="dcterms:W3CDTF">2015-06-05T18:19:34Z</dcterms:created>
  <dcterms:modified xsi:type="dcterms:W3CDTF">2026-04-23T12:28:48Z</dcterms:modified>
</cp:coreProperties>
</file>